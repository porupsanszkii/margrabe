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psa\Downloads\"/>
    </mc:Choice>
  </mc:AlternateContent>
  <xr:revisionPtr revIDLastSave="0" documentId="13_ncr:1_{DBC4EA41-7F46-4D76-ACC5-5F78BB1DD6CF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Margrabe" sheetId="4" r:id="rId1"/>
    <sheet name="Korreláció hatása" sheetId="5" r:id="rId2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6" i="4" l="1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25" i="4"/>
  <c r="W2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4" i="4"/>
  <c r="K24" i="4"/>
  <c r="K7" i="4"/>
  <c r="K5" i="4"/>
  <c r="K6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4" i="4"/>
  <c r="A9" i="5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B15" i="4" a="1"/>
  <c r="B16" i="4" a="1"/>
  <c r="B16" i="5" a="1"/>
  <c r="B21" i="5" a="1"/>
  <c r="B40" i="5" a="1"/>
  <c r="B38" i="5" a="1"/>
  <c r="B14" i="5" a="1"/>
  <c r="B11" i="5" a="1"/>
  <c r="B12" i="5" a="1"/>
  <c r="B44" i="5" a="1"/>
  <c r="B28" i="5" a="1"/>
  <c r="B47" i="5" a="1"/>
  <c r="B10" i="5" a="1"/>
  <c r="B17" i="5" a="1"/>
  <c r="B32" i="5" a="1"/>
  <c r="B46" i="5" a="1"/>
  <c r="B42" i="5" a="1"/>
  <c r="B43" i="5" a="1"/>
  <c r="B30" i="5" a="1"/>
  <c r="B13" i="5" a="1"/>
  <c r="B29" i="5" a="1"/>
  <c r="B9" i="5" a="1"/>
  <c r="B39" i="5" a="1"/>
  <c r="B15" i="5" a="1"/>
  <c r="B48" i="5" a="1"/>
  <c r="B36" i="5" a="1"/>
  <c r="B37" i="5" a="1"/>
  <c r="B45" i="5" a="1"/>
  <c r="B33" i="5" a="1"/>
  <c r="B8" i="5" a="1"/>
  <c r="B8" i="4" a="1"/>
  <c r="B26" i="5" a="1"/>
  <c r="B22" i="5" a="1"/>
  <c r="B23" i="5" a="1"/>
  <c r="B27" i="5" a="1"/>
  <c r="B25" i="5" a="1"/>
  <c r="B41" i="5" a="1"/>
  <c r="B35" i="5" a="1"/>
  <c r="B31" i="5" a="1"/>
  <c r="B24" i="5" a="1"/>
  <c r="B34" i="5" a="1"/>
  <c r="B19" i="5" a="1"/>
  <c r="B20" i="5" a="1"/>
  <c r="B18" i="5" a="1"/>
  <c r="B8" i="4" l="1"/>
  <c r="B16" i="4"/>
  <c r="B15" i="4"/>
  <c r="B8" i="5"/>
  <c r="B48" i="5"/>
  <c r="B44" i="5"/>
  <c r="B40" i="5"/>
  <c r="B36" i="5"/>
  <c r="B32" i="5"/>
  <c r="B28" i="5"/>
  <c r="B24" i="5"/>
  <c r="B20" i="5"/>
  <c r="B16" i="5"/>
  <c r="B12" i="5"/>
  <c r="B47" i="5"/>
  <c r="B43" i="5"/>
  <c r="B39" i="5"/>
  <c r="B35" i="5"/>
  <c r="B31" i="5"/>
  <c r="B27" i="5"/>
  <c r="B23" i="5"/>
  <c r="B19" i="5"/>
  <c r="B15" i="5"/>
  <c r="B11" i="5"/>
  <c r="B46" i="5"/>
  <c r="B42" i="5"/>
  <c r="B38" i="5"/>
  <c r="B34" i="5"/>
  <c r="B30" i="5"/>
  <c r="B26" i="5"/>
  <c r="B22" i="5"/>
  <c r="B18" i="5"/>
  <c r="B14" i="5"/>
  <c r="B10" i="5"/>
  <c r="B45" i="5"/>
  <c r="B41" i="5"/>
  <c r="B37" i="5"/>
  <c r="B33" i="5"/>
  <c r="B29" i="5"/>
  <c r="B25" i="5"/>
  <c r="B21" i="5"/>
  <c r="B17" i="5"/>
  <c r="B13" i="5"/>
  <c r="B9" i="5"/>
  <c r="M103" i="4"/>
  <c r="O103" i="4" s="1"/>
  <c r="N103" i="4"/>
  <c r="P103" i="4" s="1"/>
  <c r="M95" i="4"/>
  <c r="O95" i="4" s="1"/>
  <c r="N95" i="4"/>
  <c r="P95" i="4" s="1"/>
  <c r="M79" i="4"/>
  <c r="O79" i="4" s="1"/>
  <c r="N79" i="4"/>
  <c r="P79" i="4" s="1"/>
  <c r="M71" i="4"/>
  <c r="O71" i="4" s="1"/>
  <c r="N71" i="4"/>
  <c r="P71" i="4" s="1"/>
  <c r="M63" i="4"/>
  <c r="O63" i="4" s="1"/>
  <c r="N63" i="4"/>
  <c r="P63" i="4" s="1"/>
  <c r="M55" i="4"/>
  <c r="O55" i="4" s="1"/>
  <c r="N55" i="4"/>
  <c r="P55" i="4" s="1"/>
  <c r="M47" i="4"/>
  <c r="O47" i="4" s="1"/>
  <c r="N47" i="4"/>
  <c r="P47" i="4" s="1"/>
  <c r="M39" i="4"/>
  <c r="O39" i="4" s="1"/>
  <c r="N39" i="4"/>
  <c r="P39" i="4" s="1"/>
  <c r="M31" i="4"/>
  <c r="O31" i="4" s="1"/>
  <c r="N31" i="4"/>
  <c r="P31" i="4" s="1"/>
  <c r="M23" i="4"/>
  <c r="O23" i="4" s="1"/>
  <c r="N23" i="4"/>
  <c r="P23" i="4" s="1"/>
  <c r="M15" i="4"/>
  <c r="O15" i="4" s="1"/>
  <c r="N15" i="4"/>
  <c r="P15" i="4" s="1"/>
  <c r="M87" i="4"/>
  <c r="O87" i="4" s="1"/>
  <c r="N87" i="4"/>
  <c r="P87" i="4" s="1"/>
  <c r="M101" i="4"/>
  <c r="O101" i="4" s="1"/>
  <c r="N101" i="4"/>
  <c r="P101" i="4" s="1"/>
  <c r="M93" i="4"/>
  <c r="O93" i="4" s="1"/>
  <c r="N93" i="4"/>
  <c r="P93" i="4" s="1"/>
  <c r="M85" i="4"/>
  <c r="O85" i="4" s="1"/>
  <c r="N85" i="4"/>
  <c r="P85" i="4" s="1"/>
  <c r="M77" i="4"/>
  <c r="O77" i="4" s="1"/>
  <c r="N77" i="4"/>
  <c r="P77" i="4" s="1"/>
  <c r="M69" i="4"/>
  <c r="O69" i="4" s="1"/>
  <c r="N69" i="4"/>
  <c r="P69" i="4" s="1"/>
  <c r="M61" i="4"/>
  <c r="O61" i="4" s="1"/>
  <c r="N61" i="4"/>
  <c r="P61" i="4" s="1"/>
  <c r="M53" i="4"/>
  <c r="O53" i="4" s="1"/>
  <c r="N53" i="4"/>
  <c r="P53" i="4" s="1"/>
  <c r="M45" i="4"/>
  <c r="O45" i="4" s="1"/>
  <c r="N45" i="4"/>
  <c r="P45" i="4" s="1"/>
  <c r="M37" i="4"/>
  <c r="O37" i="4" s="1"/>
  <c r="N37" i="4"/>
  <c r="P37" i="4" s="1"/>
  <c r="M29" i="4"/>
  <c r="O29" i="4" s="1"/>
  <c r="N29" i="4"/>
  <c r="P29" i="4" s="1"/>
  <c r="M21" i="4"/>
  <c r="O21" i="4" s="1"/>
  <c r="N21" i="4"/>
  <c r="P21" i="4" s="1"/>
  <c r="M13" i="4"/>
  <c r="O13" i="4" s="1"/>
  <c r="N13" i="4"/>
  <c r="P13" i="4" s="1"/>
  <c r="M100" i="4"/>
  <c r="O100" i="4" s="1"/>
  <c r="N100" i="4"/>
  <c r="P100" i="4" s="1"/>
  <c r="M92" i="4"/>
  <c r="O92" i="4" s="1"/>
  <c r="N92" i="4"/>
  <c r="P92" i="4" s="1"/>
  <c r="M84" i="4"/>
  <c r="O84" i="4" s="1"/>
  <c r="N84" i="4"/>
  <c r="P84" i="4" s="1"/>
  <c r="M76" i="4"/>
  <c r="O76" i="4" s="1"/>
  <c r="N76" i="4"/>
  <c r="P76" i="4" s="1"/>
  <c r="M68" i="4"/>
  <c r="O68" i="4" s="1"/>
  <c r="N68" i="4"/>
  <c r="P68" i="4" s="1"/>
  <c r="M60" i="4"/>
  <c r="O60" i="4" s="1"/>
  <c r="N60" i="4"/>
  <c r="P60" i="4" s="1"/>
  <c r="M52" i="4"/>
  <c r="O52" i="4" s="1"/>
  <c r="N52" i="4"/>
  <c r="P52" i="4" s="1"/>
  <c r="M44" i="4"/>
  <c r="O44" i="4" s="1"/>
  <c r="N44" i="4"/>
  <c r="P44" i="4" s="1"/>
  <c r="M36" i="4"/>
  <c r="O36" i="4" s="1"/>
  <c r="N36" i="4"/>
  <c r="P36" i="4" s="1"/>
  <c r="M28" i="4"/>
  <c r="O28" i="4" s="1"/>
  <c r="N28" i="4"/>
  <c r="P28" i="4" s="1"/>
  <c r="M20" i="4"/>
  <c r="O20" i="4" s="1"/>
  <c r="N20" i="4"/>
  <c r="P20" i="4" s="1"/>
  <c r="M12" i="4"/>
  <c r="O12" i="4" s="1"/>
  <c r="N12" i="4"/>
  <c r="P12" i="4" s="1"/>
  <c r="M99" i="4"/>
  <c r="O99" i="4" s="1"/>
  <c r="N99" i="4"/>
  <c r="P99" i="4" s="1"/>
  <c r="M91" i="4"/>
  <c r="O91" i="4" s="1"/>
  <c r="N91" i="4"/>
  <c r="P91" i="4" s="1"/>
  <c r="M83" i="4"/>
  <c r="O83" i="4" s="1"/>
  <c r="N83" i="4"/>
  <c r="P83" i="4" s="1"/>
  <c r="M75" i="4"/>
  <c r="O75" i="4" s="1"/>
  <c r="N75" i="4"/>
  <c r="P75" i="4" s="1"/>
  <c r="M67" i="4"/>
  <c r="O67" i="4" s="1"/>
  <c r="N67" i="4"/>
  <c r="P67" i="4" s="1"/>
  <c r="M59" i="4"/>
  <c r="O59" i="4" s="1"/>
  <c r="N59" i="4"/>
  <c r="P59" i="4" s="1"/>
  <c r="M51" i="4"/>
  <c r="O51" i="4" s="1"/>
  <c r="N51" i="4"/>
  <c r="P51" i="4" s="1"/>
  <c r="M43" i="4"/>
  <c r="O43" i="4" s="1"/>
  <c r="N43" i="4"/>
  <c r="P43" i="4" s="1"/>
  <c r="M35" i="4"/>
  <c r="O35" i="4" s="1"/>
  <c r="N35" i="4"/>
  <c r="P35" i="4" s="1"/>
  <c r="M27" i="4"/>
  <c r="O27" i="4" s="1"/>
  <c r="N27" i="4"/>
  <c r="P27" i="4" s="1"/>
  <c r="M19" i="4"/>
  <c r="O19" i="4" s="1"/>
  <c r="N19" i="4"/>
  <c r="P19" i="4" s="1"/>
  <c r="M11" i="4"/>
  <c r="O11" i="4" s="1"/>
  <c r="N11" i="4"/>
  <c r="P11" i="4" s="1"/>
  <c r="M98" i="4"/>
  <c r="O98" i="4" s="1"/>
  <c r="N98" i="4"/>
  <c r="P98" i="4" s="1"/>
  <c r="M90" i="4"/>
  <c r="O90" i="4" s="1"/>
  <c r="N90" i="4"/>
  <c r="P90" i="4" s="1"/>
  <c r="M82" i="4"/>
  <c r="O82" i="4" s="1"/>
  <c r="N82" i="4"/>
  <c r="P82" i="4" s="1"/>
  <c r="M74" i="4"/>
  <c r="O74" i="4" s="1"/>
  <c r="N74" i="4"/>
  <c r="P74" i="4" s="1"/>
  <c r="M66" i="4"/>
  <c r="O66" i="4" s="1"/>
  <c r="N66" i="4"/>
  <c r="P66" i="4" s="1"/>
  <c r="M58" i="4"/>
  <c r="O58" i="4" s="1"/>
  <c r="N58" i="4"/>
  <c r="P58" i="4" s="1"/>
  <c r="M50" i="4"/>
  <c r="O50" i="4" s="1"/>
  <c r="N50" i="4"/>
  <c r="P50" i="4" s="1"/>
  <c r="M42" i="4"/>
  <c r="O42" i="4" s="1"/>
  <c r="N42" i="4"/>
  <c r="P42" i="4" s="1"/>
  <c r="M34" i="4"/>
  <c r="O34" i="4" s="1"/>
  <c r="N34" i="4"/>
  <c r="P34" i="4" s="1"/>
  <c r="M26" i="4"/>
  <c r="O26" i="4" s="1"/>
  <c r="N26" i="4"/>
  <c r="P26" i="4" s="1"/>
  <c r="M18" i="4"/>
  <c r="O18" i="4" s="1"/>
  <c r="N18" i="4"/>
  <c r="P18" i="4" s="1"/>
  <c r="M97" i="4"/>
  <c r="O97" i="4" s="1"/>
  <c r="N97" i="4"/>
  <c r="P97" i="4" s="1"/>
  <c r="M89" i="4"/>
  <c r="O89" i="4" s="1"/>
  <c r="N89" i="4"/>
  <c r="P89" i="4" s="1"/>
  <c r="M81" i="4"/>
  <c r="O81" i="4" s="1"/>
  <c r="N81" i="4"/>
  <c r="P81" i="4" s="1"/>
  <c r="M73" i="4"/>
  <c r="O73" i="4" s="1"/>
  <c r="N73" i="4"/>
  <c r="P73" i="4" s="1"/>
  <c r="M65" i="4"/>
  <c r="O65" i="4" s="1"/>
  <c r="N65" i="4"/>
  <c r="P65" i="4" s="1"/>
  <c r="M57" i="4"/>
  <c r="O57" i="4" s="1"/>
  <c r="N57" i="4"/>
  <c r="P57" i="4" s="1"/>
  <c r="M49" i="4"/>
  <c r="O49" i="4" s="1"/>
  <c r="N49" i="4"/>
  <c r="P49" i="4" s="1"/>
  <c r="M41" i="4"/>
  <c r="O41" i="4" s="1"/>
  <c r="N41" i="4"/>
  <c r="P41" i="4" s="1"/>
  <c r="M33" i="4"/>
  <c r="O33" i="4" s="1"/>
  <c r="N33" i="4"/>
  <c r="P33" i="4" s="1"/>
  <c r="M25" i="4"/>
  <c r="O25" i="4" s="1"/>
  <c r="N25" i="4"/>
  <c r="P25" i="4" s="1"/>
  <c r="M17" i="4"/>
  <c r="O17" i="4" s="1"/>
  <c r="N17" i="4"/>
  <c r="P17" i="4" s="1"/>
  <c r="M96" i="4"/>
  <c r="O96" i="4" s="1"/>
  <c r="N96" i="4"/>
  <c r="P96" i="4" s="1"/>
  <c r="M88" i="4"/>
  <c r="O88" i="4" s="1"/>
  <c r="N88" i="4"/>
  <c r="P88" i="4" s="1"/>
  <c r="M80" i="4"/>
  <c r="O80" i="4" s="1"/>
  <c r="N80" i="4"/>
  <c r="P80" i="4" s="1"/>
  <c r="M72" i="4"/>
  <c r="O72" i="4" s="1"/>
  <c r="N72" i="4"/>
  <c r="P72" i="4" s="1"/>
  <c r="M64" i="4"/>
  <c r="O64" i="4" s="1"/>
  <c r="N64" i="4"/>
  <c r="P64" i="4" s="1"/>
  <c r="M56" i="4"/>
  <c r="O56" i="4" s="1"/>
  <c r="N56" i="4"/>
  <c r="P56" i="4" s="1"/>
  <c r="M48" i="4"/>
  <c r="O48" i="4" s="1"/>
  <c r="N48" i="4"/>
  <c r="P48" i="4" s="1"/>
  <c r="M40" i="4"/>
  <c r="O40" i="4" s="1"/>
  <c r="N40" i="4"/>
  <c r="P40" i="4" s="1"/>
  <c r="M32" i="4"/>
  <c r="O32" i="4" s="1"/>
  <c r="N32" i="4"/>
  <c r="P32" i="4" s="1"/>
  <c r="M24" i="4"/>
  <c r="O24" i="4" s="1"/>
  <c r="N24" i="4"/>
  <c r="P24" i="4" s="1"/>
  <c r="M16" i="4"/>
  <c r="O16" i="4" s="1"/>
  <c r="N16" i="4"/>
  <c r="P16" i="4" s="1"/>
  <c r="M102" i="4"/>
  <c r="O102" i="4" s="1"/>
  <c r="N102" i="4"/>
  <c r="P102" i="4" s="1"/>
  <c r="M94" i="4"/>
  <c r="O94" i="4" s="1"/>
  <c r="N94" i="4"/>
  <c r="P94" i="4" s="1"/>
  <c r="M86" i="4"/>
  <c r="O86" i="4" s="1"/>
  <c r="N86" i="4"/>
  <c r="P86" i="4" s="1"/>
  <c r="M78" i="4"/>
  <c r="O78" i="4" s="1"/>
  <c r="N78" i="4"/>
  <c r="P78" i="4" s="1"/>
  <c r="M70" i="4"/>
  <c r="O70" i="4" s="1"/>
  <c r="N70" i="4"/>
  <c r="P70" i="4" s="1"/>
  <c r="M62" i="4"/>
  <c r="O62" i="4" s="1"/>
  <c r="N62" i="4"/>
  <c r="P62" i="4" s="1"/>
  <c r="M54" i="4"/>
  <c r="O54" i="4" s="1"/>
  <c r="N54" i="4"/>
  <c r="P54" i="4" s="1"/>
  <c r="M46" i="4"/>
  <c r="O46" i="4" s="1"/>
  <c r="N46" i="4"/>
  <c r="P46" i="4" s="1"/>
  <c r="M38" i="4"/>
  <c r="O38" i="4" s="1"/>
  <c r="N38" i="4"/>
  <c r="P38" i="4" s="1"/>
  <c r="M30" i="4"/>
  <c r="O30" i="4" s="1"/>
  <c r="N30" i="4"/>
  <c r="P30" i="4" s="1"/>
  <c r="M22" i="4"/>
  <c r="O22" i="4" s="1"/>
  <c r="N22" i="4"/>
  <c r="P22" i="4" s="1"/>
  <c r="M14" i="4"/>
  <c r="O14" i="4" s="1"/>
  <c r="N14" i="4"/>
  <c r="P14" i="4" s="1"/>
  <c r="L4" i="4"/>
  <c r="N4" i="4" s="1"/>
  <c r="P4" i="4" s="1"/>
  <c r="N5" i="4"/>
  <c r="P5" i="4" s="1"/>
  <c r="N6" i="4"/>
  <c r="P6" i="4" s="1"/>
  <c r="N7" i="4"/>
  <c r="P7" i="4" s="1"/>
  <c r="N8" i="4"/>
  <c r="P8" i="4" s="1"/>
  <c r="N10" i="4"/>
  <c r="P10" i="4" s="1"/>
  <c r="T4" i="4" l="1"/>
  <c r="T5" i="4" s="1"/>
  <c r="T6" i="4" s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Q94" i="4"/>
  <c r="Q32" i="4"/>
  <c r="Q64" i="4"/>
  <c r="Q96" i="4"/>
  <c r="Q41" i="4"/>
  <c r="Q73" i="4"/>
  <c r="Q18" i="4"/>
  <c r="Q50" i="4"/>
  <c r="Q83" i="4"/>
  <c r="Q38" i="4"/>
  <c r="Q40" i="4"/>
  <c r="Q81" i="4"/>
  <c r="Q58" i="4"/>
  <c r="Q90" i="4"/>
  <c r="Q27" i="4"/>
  <c r="Q59" i="4"/>
  <c r="Q91" i="4"/>
  <c r="Q28" i="4"/>
  <c r="Q60" i="4"/>
  <c r="Q92" i="4"/>
  <c r="Q29" i="4"/>
  <c r="Q61" i="4"/>
  <c r="Q93" i="4"/>
  <c r="Q23" i="4"/>
  <c r="Q55" i="4"/>
  <c r="Q95" i="4"/>
  <c r="Q72" i="4"/>
  <c r="Q17" i="4"/>
  <c r="Q70" i="4"/>
  <c r="Q26" i="4"/>
  <c r="Q102" i="4"/>
  <c r="Q49" i="4"/>
  <c r="Q22" i="4"/>
  <c r="Q54" i="4"/>
  <c r="Q86" i="4"/>
  <c r="Q24" i="4"/>
  <c r="Q56" i="4"/>
  <c r="Q88" i="4"/>
  <c r="Q33" i="4"/>
  <c r="Q65" i="4"/>
  <c r="Q97" i="4"/>
  <c r="Q42" i="4"/>
  <c r="Q74" i="4"/>
  <c r="Q11" i="4"/>
  <c r="Q43" i="4"/>
  <c r="Q75" i="4"/>
  <c r="Q12" i="4"/>
  <c r="Q44" i="4"/>
  <c r="Q76" i="4"/>
  <c r="Q13" i="4"/>
  <c r="Q45" i="4"/>
  <c r="Q77" i="4"/>
  <c r="Q87" i="4"/>
  <c r="Q39" i="4"/>
  <c r="Q71" i="4"/>
  <c r="Q82" i="4"/>
  <c r="Q19" i="4"/>
  <c r="Q51" i="4"/>
  <c r="Q20" i="4"/>
  <c r="Q52" i="4"/>
  <c r="Q84" i="4"/>
  <c r="Q21" i="4"/>
  <c r="Q53" i="4"/>
  <c r="Q85" i="4"/>
  <c r="Q15" i="4"/>
  <c r="Q47" i="4"/>
  <c r="Q79" i="4"/>
  <c r="Q30" i="4"/>
  <c r="Q46" i="4"/>
  <c r="Q16" i="4"/>
  <c r="Q48" i="4"/>
  <c r="Q80" i="4"/>
  <c r="Q25" i="4"/>
  <c r="Q57" i="4"/>
  <c r="Q89" i="4"/>
  <c r="Q34" i="4"/>
  <c r="Q66" i="4"/>
  <c r="Q98" i="4"/>
  <c r="Q35" i="4"/>
  <c r="Q67" i="4"/>
  <c r="Q99" i="4"/>
  <c r="Q36" i="4"/>
  <c r="Q68" i="4"/>
  <c r="Q100" i="4"/>
  <c r="Q37" i="4"/>
  <c r="Q69" i="4"/>
  <c r="Q101" i="4"/>
  <c r="Q31" i="4"/>
  <c r="Q63" i="4"/>
  <c r="Q103" i="4"/>
  <c r="Q14" i="4"/>
  <c r="Q78" i="4"/>
  <c r="Q62" i="4"/>
  <c r="B17" i="4"/>
  <c r="R75" i="4"/>
  <c r="R62" i="4"/>
  <c r="R64" i="4"/>
  <c r="R96" i="4"/>
  <c r="R41" i="4"/>
  <c r="R73" i="4"/>
  <c r="R18" i="4"/>
  <c r="R50" i="4"/>
  <c r="R82" i="4"/>
  <c r="R20" i="4"/>
  <c r="R52" i="4"/>
  <c r="R84" i="4"/>
  <c r="R15" i="4"/>
  <c r="R47" i="4"/>
  <c r="R79" i="4"/>
  <c r="R94" i="4"/>
  <c r="R59" i="4"/>
  <c r="R91" i="4"/>
  <c r="R60" i="4"/>
  <c r="R92" i="4"/>
  <c r="R29" i="4"/>
  <c r="R61" i="4"/>
  <c r="R93" i="4"/>
  <c r="R23" i="4"/>
  <c r="R55" i="4"/>
  <c r="R95" i="4"/>
  <c r="R30" i="4"/>
  <c r="R32" i="4"/>
  <c r="R34" i="4"/>
  <c r="R66" i="4"/>
  <c r="R98" i="4"/>
  <c r="R12" i="4"/>
  <c r="R44" i="4"/>
  <c r="R76" i="4"/>
  <c r="R87" i="4"/>
  <c r="R39" i="4"/>
  <c r="R71" i="4"/>
  <c r="R24" i="4"/>
  <c r="R56" i="4"/>
  <c r="R88" i="4"/>
  <c r="R42" i="4"/>
  <c r="R74" i="4"/>
  <c r="R11" i="4"/>
  <c r="R43" i="4"/>
  <c r="R38" i="4"/>
  <c r="R70" i="4"/>
  <c r="R102" i="4"/>
  <c r="R17" i="4"/>
  <c r="R49" i="4"/>
  <c r="R81" i="4"/>
  <c r="R27" i="4"/>
  <c r="R28" i="4"/>
  <c r="R14" i="4"/>
  <c r="R46" i="4"/>
  <c r="R78" i="4"/>
  <c r="R16" i="4"/>
  <c r="R48" i="4"/>
  <c r="R80" i="4"/>
  <c r="R25" i="4"/>
  <c r="R57" i="4"/>
  <c r="R89" i="4"/>
  <c r="R35" i="4"/>
  <c r="R67" i="4"/>
  <c r="R99" i="4"/>
  <c r="R31" i="4"/>
  <c r="R63" i="4"/>
  <c r="R103" i="4"/>
  <c r="R22" i="4"/>
  <c r="R54" i="4"/>
  <c r="R86" i="4"/>
  <c r="R40" i="4"/>
  <c r="R72" i="4"/>
  <c r="R33" i="4"/>
  <c r="R65" i="4"/>
  <c r="R97" i="4"/>
  <c r="R26" i="4"/>
  <c r="R58" i="4"/>
  <c r="R90" i="4"/>
  <c r="R13" i="4"/>
  <c r="R45" i="4"/>
  <c r="R77" i="4"/>
  <c r="R21" i="4"/>
  <c r="R53" i="4"/>
  <c r="R85" i="4"/>
  <c r="R19" i="4"/>
  <c r="R83" i="4"/>
  <c r="R36" i="4"/>
  <c r="R68" i="4"/>
  <c r="R51" i="4"/>
  <c r="R100" i="4"/>
  <c r="R37" i="4"/>
  <c r="R69" i="4"/>
  <c r="R101" i="4"/>
  <c r="M9" i="4"/>
  <c r="O9" i="4" s="1"/>
  <c r="N9" i="4"/>
  <c r="P9" i="4" s="1"/>
  <c r="M7" i="4"/>
  <c r="O7" i="4" s="1"/>
  <c r="Q7" i="4" s="1"/>
  <c r="M5" i="4"/>
  <c r="O5" i="4" s="1"/>
  <c r="Q5" i="4" s="1"/>
  <c r="M10" i="4"/>
  <c r="O10" i="4" s="1"/>
  <c r="Q10" i="4" s="1"/>
  <c r="M6" i="4"/>
  <c r="O6" i="4" s="1"/>
  <c r="Q6" i="4" s="1"/>
  <c r="M8" i="4"/>
  <c r="O8" i="4" s="1"/>
  <c r="Q8" i="4" s="1"/>
  <c r="M4" i="4"/>
  <c r="O4" i="4" s="1"/>
  <c r="Q9" i="4" l="1"/>
  <c r="R4" i="4"/>
  <c r="Q4" i="4"/>
  <c r="R6" i="4"/>
  <c r="R8" i="4"/>
  <c r="R10" i="4"/>
  <c r="R5" i="4"/>
  <c r="R7" i="4"/>
  <c r="R9" i="4"/>
  <c r="U4" i="4" l="1"/>
  <c r="U24" i="4"/>
  <c r="U5" i="4"/>
  <c r="U7" i="4"/>
  <c r="U6" i="4"/>
  <c r="U14" i="4"/>
  <c r="U22" i="4"/>
  <c r="U30" i="4"/>
  <c r="U38" i="4"/>
  <c r="U15" i="4"/>
  <c r="U23" i="4"/>
  <c r="U31" i="4"/>
  <c r="U39" i="4"/>
  <c r="U8" i="4"/>
  <c r="U16" i="4"/>
  <c r="U32" i="4"/>
  <c r="U40" i="4"/>
  <c r="U29" i="4"/>
  <c r="U9" i="4"/>
  <c r="U17" i="4"/>
  <c r="U25" i="4"/>
  <c r="U33" i="4"/>
  <c r="U41" i="4"/>
  <c r="U37" i="4"/>
  <c r="U10" i="4"/>
  <c r="U18" i="4"/>
  <c r="U26" i="4"/>
  <c r="U34" i="4"/>
  <c r="U42" i="4"/>
  <c r="U21" i="4"/>
  <c r="U11" i="4"/>
  <c r="U19" i="4"/>
  <c r="U27" i="4"/>
  <c r="U35" i="4"/>
  <c r="U43" i="4"/>
  <c r="U12" i="4"/>
  <c r="U20" i="4"/>
  <c r="U28" i="4"/>
  <c r="U36" i="4"/>
  <c r="U44" i="4"/>
  <c r="U13" i="4"/>
  <c r="B10" i="4"/>
  <c r="B1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<sst xmlns="http://schemas.openxmlformats.org/spreadsheetml/2006/main" count="36" uniqueCount="27">
  <si>
    <t>v1</t>
  </si>
  <si>
    <t>v2</t>
  </si>
  <si>
    <t>N</t>
  </si>
  <si>
    <t>Z1</t>
  </si>
  <si>
    <t>Z2</t>
  </si>
  <si>
    <t>MC-szimuláció</t>
  </si>
  <si>
    <t>kockázatmentes kamatláb</t>
  </si>
  <si>
    <t>X1(0)</t>
  </si>
  <si>
    <t>X2(0)</t>
  </si>
  <si>
    <t>BS képlet v2=0 esetén</t>
  </si>
  <si>
    <t>MC szimuláció</t>
  </si>
  <si>
    <t>Korreláció</t>
  </si>
  <si>
    <t>Hiba</t>
  </si>
  <si>
    <t>Margrabe</t>
  </si>
  <si>
    <t>X1(T)</t>
  </si>
  <si>
    <t>X2(T)</t>
  </si>
  <si>
    <t>W1(T)</t>
  </si>
  <si>
    <t>W2(T)</t>
  </si>
  <si>
    <t>Kísérletek</t>
  </si>
  <si>
    <t>kumulálva</t>
  </si>
  <si>
    <t>Hisztogram</t>
  </si>
  <si>
    <t>X1(T)-X2(T)</t>
  </si>
  <si>
    <t>T</t>
  </si>
  <si>
    <t>Margrabe-képlet</t>
  </si>
  <si>
    <t>A Margrabe és BS képletek kapcsolata</t>
  </si>
  <si>
    <t>x</t>
  </si>
  <si>
    <t>100 kísérlet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</si>
</sst>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4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2" tint="-9.9978637043366805E-2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/>
      <top/>
      <bottom/>
      <diagonal/>
    </border>
    <border>
      <left/>
      <right style="thin">
        <color theme="4" tint="-0.499984740745262"/>
      </right>
      <top/>
      <bottom/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/>
      <right/>
      <top style="thin">
        <color theme="4" tint="-0.499984740745262"/>
      </top>
      <bottom/>
      <diagonal/>
    </border>
    <border>
      <left/>
      <right/>
      <top/>
      <bottom style="thin">
        <color theme="4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0" fontId="0" fillId="2" borderId="0" xfId="0" applyNumberForma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1" fontId="2" fillId="5" borderId="10" xfId="0" applyNumberFormat="1" applyFont="1" applyFill="1" applyBorder="1" applyAlignment="1">
      <alignment horizontal="center" vertical="center"/>
    </xf>
    <xf numFmtId="9" fontId="2" fillId="5" borderId="10" xfId="1" applyFont="1" applyFill="1" applyBorder="1" applyAlignment="1">
      <alignment horizontal="center" vertical="center"/>
    </xf>
    <xf numFmtId="2" fontId="4" fillId="6" borderId="10" xfId="0" applyNumberFormat="1" applyFont="1" applyFill="1" applyBorder="1" applyAlignment="1">
      <alignment horizontal="center" vertical="center"/>
    </xf>
    <xf numFmtId="9" fontId="2" fillId="5" borderId="12" xfId="1" applyFont="1" applyFill="1" applyBorder="1" applyAlignment="1">
      <alignment horizontal="center" vertical="center"/>
    </xf>
    <xf numFmtId="10" fontId="4" fillId="6" borderId="10" xfId="1" applyNumberFormat="1" applyFont="1" applyFill="1" applyBorder="1" applyAlignment="1">
      <alignment horizontal="center" vertical="center"/>
    </xf>
    <xf numFmtId="2" fontId="3" fillId="4" borderId="10" xfId="0" applyNumberFormat="1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16" xfId="0" applyFont="1" applyFill="1" applyBorder="1" applyAlignment="1">
      <alignment horizontal="center" vertical="center"/>
    </xf>
    <xf numFmtId="0" fontId="6" fillId="5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2" fontId="6" fillId="5" borderId="13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2" fontId="6" fillId="5" borderId="14" xfId="0" applyNumberFormat="1" applyFont="1" applyFill="1" applyBorder="1" applyAlignment="1">
      <alignment horizontal="center" vertical="center"/>
    </xf>
    <xf numFmtId="2" fontId="6" fillId="5" borderId="15" xfId="0" applyNumberFormat="1" applyFont="1" applyFill="1" applyBorder="1" applyAlignment="1">
      <alignment horizontal="center" vertical="center"/>
    </xf>
    <xf numFmtId="2" fontId="6" fillId="5" borderId="0" xfId="0" applyNumberFormat="1" applyFont="1" applyFill="1" applyAlignment="1">
      <alignment horizontal="center" vertical="center"/>
    </xf>
    <xf numFmtId="2" fontId="6" fillId="5" borderId="16" xfId="0" applyNumberFormat="1" applyFont="1" applyFill="1" applyBorder="1" applyAlignment="1">
      <alignment horizontal="center" vertical="center"/>
    </xf>
    <xf numFmtId="2" fontId="6" fillId="5" borderId="17" xfId="0" applyNumberFormat="1" applyFont="1" applyFill="1" applyBorder="1" applyAlignment="1">
      <alignment horizontal="center" vertical="center"/>
    </xf>
    <xf numFmtId="2" fontId="6" fillId="5" borderId="20" xfId="0" applyNumberFormat="1" applyFont="1" applyFill="1" applyBorder="1" applyAlignment="1">
      <alignment horizontal="center" vertical="center"/>
    </xf>
    <xf numFmtId="2" fontId="6" fillId="5" borderId="18" xfId="0" applyNumberFormat="1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9" fontId="2" fillId="5" borderId="8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9" fontId="6" fillId="5" borderId="6" xfId="1" applyFont="1" applyFill="1" applyBorder="1" applyAlignment="1">
      <alignment horizontal="center" vertical="center"/>
    </xf>
    <xf numFmtId="2" fontId="6" fillId="5" borderId="2" xfId="0" applyNumberFormat="1" applyFont="1" applyFill="1" applyBorder="1" applyAlignment="1">
      <alignment horizontal="center" vertical="center"/>
    </xf>
    <xf numFmtId="9" fontId="6" fillId="5" borderId="7" xfId="1" applyFont="1" applyFill="1" applyBorder="1" applyAlignment="1">
      <alignment horizontal="center" vertical="center"/>
    </xf>
    <xf numFmtId="2" fontId="6" fillId="5" borderId="3" xfId="0" applyNumberFormat="1" applyFont="1" applyFill="1" applyBorder="1" applyAlignment="1">
      <alignment horizontal="center" vertical="center"/>
    </xf>
    <xf numFmtId="9" fontId="6" fillId="5" borderId="9" xfId="1" applyFont="1" applyFill="1" applyBorder="1" applyAlignment="1">
      <alignment horizontal="center" vertical="center"/>
    </xf>
    <xf numFmtId="2" fontId="6" fillId="5" borderId="4" xfId="0" applyNumberFormat="1" applyFont="1" applyFill="1" applyBorder="1" applyAlignment="1">
      <alignment horizontal="center" vertical="center"/>
    </xf>
    <xf numFmtId="10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</cellXfs>
  <cellStyles count="2">
    <cellStyle name="Normál" xfId="0" builtinId="0"/>
    <cellStyle name="Százalék" xfId="1" builtinId="5"/>
  </cellStyles>
  <dxfs count="0"/>
  <tableStyles count="0" defaultTableStyle="TableStyleMedium2" defaultPivotStyle="PivotStyleLight16"/>
  <colors>
    <mruColors>
      <color rgb="FFCFF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>
                <a:solidFill>
                  <a:schemeClr val="accent1">
                    <a:lumMod val="50000"/>
                  </a:schemeClr>
                </a:solidFill>
              </a:rPr>
              <a:t>MC-szimuláció hisztogramja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  <a:alpha val="34000"/>
              </a:schemeClr>
            </a:solidFill>
            <a:ln w="31750">
              <a:solidFill>
                <a:schemeClr val="accent1">
                  <a:lumMod val="75000"/>
                  <a:alpha val="33000"/>
                </a:schemeClr>
              </a:solidFill>
            </a:ln>
            <a:effectLst/>
          </c:spPr>
          <c:invertIfNegative val="0"/>
          <c:cat>
            <c:numRef>
              <c:f>Margrabe!$T$4:$T$44</c:f>
              <c:numCache>
                <c:formatCode>0.00</c:formatCode>
                <c:ptCount val="41"/>
                <c:pt idx="0">
                  <c:v>-39.87761167674492</c:v>
                </c:pt>
                <c:pt idx="1">
                  <c:v>-37.883731092907674</c:v>
                </c:pt>
                <c:pt idx="2">
                  <c:v>-35.889850509070428</c:v>
                </c:pt>
                <c:pt idx="3">
                  <c:v>-33.895969925233182</c:v>
                </c:pt>
                <c:pt idx="4">
                  <c:v>-31.902089341395936</c:v>
                </c:pt>
                <c:pt idx="5">
                  <c:v>-29.90820875755869</c:v>
                </c:pt>
                <c:pt idx="6">
                  <c:v>-27.914328173721444</c:v>
                </c:pt>
                <c:pt idx="7">
                  <c:v>-25.920447589884198</c:v>
                </c:pt>
                <c:pt idx="8">
                  <c:v>-23.926567006046952</c:v>
                </c:pt>
                <c:pt idx="9">
                  <c:v>-21.932686422209706</c:v>
                </c:pt>
                <c:pt idx="10">
                  <c:v>-19.93880583837246</c:v>
                </c:pt>
                <c:pt idx="11">
                  <c:v>-17.944925254535214</c:v>
                </c:pt>
                <c:pt idx="12">
                  <c:v>-15.951044670697968</c:v>
                </c:pt>
                <c:pt idx="13">
                  <c:v>-13.957164086860722</c:v>
                </c:pt>
                <c:pt idx="14">
                  <c:v>-11.963283503023476</c:v>
                </c:pt>
                <c:pt idx="15">
                  <c:v>-9.9694029191862299</c:v>
                </c:pt>
                <c:pt idx="16">
                  <c:v>-7.9755223353489839</c:v>
                </c:pt>
                <c:pt idx="17">
                  <c:v>-5.9816417515117379</c:v>
                </c:pt>
                <c:pt idx="18">
                  <c:v>-3.987761167674492</c:v>
                </c:pt>
                <c:pt idx="19">
                  <c:v>-1.993880583837246</c:v>
                </c:pt>
                <c:pt idx="20">
                  <c:v>0</c:v>
                </c:pt>
                <c:pt idx="21">
                  <c:v>1.993880583837246</c:v>
                </c:pt>
                <c:pt idx="22">
                  <c:v>3.987761167674492</c:v>
                </c:pt>
                <c:pt idx="23">
                  <c:v>5.9816417515117379</c:v>
                </c:pt>
                <c:pt idx="24">
                  <c:v>7.9755223353489839</c:v>
                </c:pt>
                <c:pt idx="25">
                  <c:v>9.9694029191862299</c:v>
                </c:pt>
                <c:pt idx="26">
                  <c:v>11.963283503023476</c:v>
                </c:pt>
                <c:pt idx="27">
                  <c:v>13.957164086860722</c:v>
                </c:pt>
                <c:pt idx="28">
                  <c:v>15.951044670697968</c:v>
                </c:pt>
                <c:pt idx="29">
                  <c:v>17.944925254535214</c:v>
                </c:pt>
                <c:pt idx="30">
                  <c:v>19.93880583837246</c:v>
                </c:pt>
                <c:pt idx="31">
                  <c:v>21.932686422209706</c:v>
                </c:pt>
                <c:pt idx="32">
                  <c:v>23.926567006046952</c:v>
                </c:pt>
                <c:pt idx="33">
                  <c:v>25.920447589884198</c:v>
                </c:pt>
                <c:pt idx="34">
                  <c:v>27.914328173721444</c:v>
                </c:pt>
                <c:pt idx="35">
                  <c:v>29.90820875755869</c:v>
                </c:pt>
                <c:pt idx="36">
                  <c:v>31.902089341395936</c:v>
                </c:pt>
                <c:pt idx="37">
                  <c:v>33.895969925233182</c:v>
                </c:pt>
                <c:pt idx="38">
                  <c:v>35.889850509070428</c:v>
                </c:pt>
                <c:pt idx="39">
                  <c:v>37.883731092907674</c:v>
                </c:pt>
                <c:pt idx="40">
                  <c:v>39.87761167674492</c:v>
                </c:pt>
              </c:numCache>
            </c:numRef>
          </c:cat>
          <c:val>
            <c:numRef>
              <c:f>Margrabe!$W$4:$W$44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9</c:v>
                </c:pt>
                <c:pt idx="12">
                  <c:v>9</c:v>
                </c:pt>
                <c:pt idx="13">
                  <c:v>16</c:v>
                </c:pt>
                <c:pt idx="14">
                  <c:v>22</c:v>
                </c:pt>
                <c:pt idx="15">
                  <c:v>29</c:v>
                </c:pt>
                <c:pt idx="16">
                  <c:v>29</c:v>
                </c:pt>
                <c:pt idx="17">
                  <c:v>40</c:v>
                </c:pt>
                <c:pt idx="18">
                  <c:v>33</c:v>
                </c:pt>
                <c:pt idx="19">
                  <c:v>43</c:v>
                </c:pt>
                <c:pt idx="20" formatCode="0.0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77-4625-8324-827638A52E65}"/>
            </c:ext>
          </c:extLst>
        </c:ser>
        <c:ser>
          <c:idx val="1"/>
          <c:order val="1"/>
          <c:spPr>
            <a:solidFill>
              <a:schemeClr val="accent1">
                <a:lumMod val="50000"/>
              </a:schemeClr>
            </a:solidFill>
            <a:ln w="31750"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cat>
            <c:numRef>
              <c:f>Margrabe!$T$4:$T$44</c:f>
              <c:numCache>
                <c:formatCode>0.00</c:formatCode>
                <c:ptCount val="41"/>
                <c:pt idx="0">
                  <c:v>-39.87761167674492</c:v>
                </c:pt>
                <c:pt idx="1">
                  <c:v>-37.883731092907674</c:v>
                </c:pt>
                <c:pt idx="2">
                  <c:v>-35.889850509070428</c:v>
                </c:pt>
                <c:pt idx="3">
                  <c:v>-33.895969925233182</c:v>
                </c:pt>
                <c:pt idx="4">
                  <c:v>-31.902089341395936</c:v>
                </c:pt>
                <c:pt idx="5">
                  <c:v>-29.90820875755869</c:v>
                </c:pt>
                <c:pt idx="6">
                  <c:v>-27.914328173721444</c:v>
                </c:pt>
                <c:pt idx="7">
                  <c:v>-25.920447589884198</c:v>
                </c:pt>
                <c:pt idx="8">
                  <c:v>-23.926567006046952</c:v>
                </c:pt>
                <c:pt idx="9">
                  <c:v>-21.932686422209706</c:v>
                </c:pt>
                <c:pt idx="10">
                  <c:v>-19.93880583837246</c:v>
                </c:pt>
                <c:pt idx="11">
                  <c:v>-17.944925254535214</c:v>
                </c:pt>
                <c:pt idx="12">
                  <c:v>-15.951044670697968</c:v>
                </c:pt>
                <c:pt idx="13">
                  <c:v>-13.957164086860722</c:v>
                </c:pt>
                <c:pt idx="14">
                  <c:v>-11.963283503023476</c:v>
                </c:pt>
                <c:pt idx="15">
                  <c:v>-9.9694029191862299</c:v>
                </c:pt>
                <c:pt idx="16">
                  <c:v>-7.9755223353489839</c:v>
                </c:pt>
                <c:pt idx="17">
                  <c:v>-5.9816417515117379</c:v>
                </c:pt>
                <c:pt idx="18">
                  <c:v>-3.987761167674492</c:v>
                </c:pt>
                <c:pt idx="19">
                  <c:v>-1.993880583837246</c:v>
                </c:pt>
                <c:pt idx="20">
                  <c:v>0</c:v>
                </c:pt>
                <c:pt idx="21">
                  <c:v>1.993880583837246</c:v>
                </c:pt>
                <c:pt idx="22">
                  <c:v>3.987761167674492</c:v>
                </c:pt>
                <c:pt idx="23">
                  <c:v>5.9816417515117379</c:v>
                </c:pt>
                <c:pt idx="24">
                  <c:v>7.9755223353489839</c:v>
                </c:pt>
                <c:pt idx="25">
                  <c:v>9.9694029191862299</c:v>
                </c:pt>
                <c:pt idx="26">
                  <c:v>11.963283503023476</c:v>
                </c:pt>
                <c:pt idx="27">
                  <c:v>13.957164086860722</c:v>
                </c:pt>
                <c:pt idx="28">
                  <c:v>15.951044670697968</c:v>
                </c:pt>
                <c:pt idx="29">
                  <c:v>17.944925254535214</c:v>
                </c:pt>
                <c:pt idx="30">
                  <c:v>19.93880583837246</c:v>
                </c:pt>
                <c:pt idx="31">
                  <c:v>21.932686422209706</c:v>
                </c:pt>
                <c:pt idx="32">
                  <c:v>23.926567006046952</c:v>
                </c:pt>
                <c:pt idx="33">
                  <c:v>25.920447589884198</c:v>
                </c:pt>
                <c:pt idx="34">
                  <c:v>27.914328173721444</c:v>
                </c:pt>
                <c:pt idx="35">
                  <c:v>29.90820875755869</c:v>
                </c:pt>
                <c:pt idx="36">
                  <c:v>31.902089341395936</c:v>
                </c:pt>
                <c:pt idx="37">
                  <c:v>33.895969925233182</c:v>
                </c:pt>
                <c:pt idx="38">
                  <c:v>35.889850509070428</c:v>
                </c:pt>
                <c:pt idx="39">
                  <c:v>37.883731092907674</c:v>
                </c:pt>
                <c:pt idx="40">
                  <c:v>39.87761167674492</c:v>
                </c:pt>
              </c:numCache>
            </c:numRef>
          </c:cat>
          <c:val>
            <c:numRef>
              <c:f>Margrabe!$X$4:$X$44</c:f>
              <c:numCache>
                <c:formatCode>General</c:formatCode>
                <c:ptCount val="41"/>
                <c:pt idx="21">
                  <c:v>32</c:v>
                </c:pt>
                <c:pt idx="22">
                  <c:v>28</c:v>
                </c:pt>
                <c:pt idx="23">
                  <c:v>30</c:v>
                </c:pt>
                <c:pt idx="24">
                  <c:v>26</c:v>
                </c:pt>
                <c:pt idx="25">
                  <c:v>18</c:v>
                </c:pt>
                <c:pt idx="26">
                  <c:v>12</c:v>
                </c:pt>
                <c:pt idx="27">
                  <c:v>18</c:v>
                </c:pt>
                <c:pt idx="28">
                  <c:v>9</c:v>
                </c:pt>
                <c:pt idx="29">
                  <c:v>11</c:v>
                </c:pt>
                <c:pt idx="30">
                  <c:v>10</c:v>
                </c:pt>
                <c:pt idx="31">
                  <c:v>3</c:v>
                </c:pt>
                <c:pt idx="32">
                  <c:v>6</c:v>
                </c:pt>
                <c:pt idx="33">
                  <c:v>5</c:v>
                </c:pt>
                <c:pt idx="34">
                  <c:v>9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3</c:v>
                </c:pt>
                <c:pt idx="39">
                  <c:v>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77-4625-8324-827638A52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64513056"/>
        <c:axId val="564514304"/>
      </c:barChart>
      <c:catAx>
        <c:axId val="56451305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solidFill>
            <a:schemeClr val="accent1">
              <a:lumMod val="20000"/>
              <a:lumOff val="80000"/>
            </a:schemeClr>
          </a:solidFill>
          <a:ln w="9525" cap="flat" cmpd="sng" algn="ctr">
            <a:solidFill>
              <a:schemeClr val="accen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564514304"/>
        <c:crosses val="autoZero"/>
        <c:auto val="1"/>
        <c:lblAlgn val="ctr"/>
        <c:lblOffset val="100"/>
        <c:noMultiLvlLbl val="0"/>
      </c:catAx>
      <c:valAx>
        <c:axId val="56451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56451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 b="1" i="0" baseline="0">
          <a:solidFill>
            <a:schemeClr val="accent2">
              <a:lumMod val="50000"/>
            </a:schemeClr>
          </a:solidFill>
        </a:defRPr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>
                <a:solidFill>
                  <a:schemeClr val="accent1">
                    <a:lumMod val="50000"/>
                  </a:schemeClr>
                </a:solidFill>
              </a:rPr>
              <a:t>Csereopció értéke csökken c.p. a korreláció növelésével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'Korreláció hatása'!$B$7</c:f>
              <c:strCache>
                <c:ptCount val="1"/>
                <c:pt idx="0">
                  <c:v>Margrabe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'Korreláció hatása'!$A$8:$A$48</c:f>
              <c:numCache>
                <c:formatCode>0%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'Korreláció hatása'!$B$8:$B$48</c:f>
              <c:numCache>
                <c:formatCode>0.00</c:formatCode>
                <c:ptCount val="41"/>
                <c:pt idx="0">
                  <c:v>19.741265136584744</c:v>
                </c:pt>
                <c:pt idx="1">
                  <c:v>19.507767574541553</c:v>
                </c:pt>
                <c:pt idx="2">
                  <c:v>19.27120369238127</c:v>
                </c:pt>
                <c:pt idx="3">
                  <c:v>19.031458893964093</c:v>
                </c:pt>
                <c:pt idx="4">
                  <c:v>18.788411156266619</c:v>
                </c:pt>
                <c:pt idx="5">
                  <c:v>18.541930335645333</c:v>
                </c:pt>
                <c:pt idx="6">
                  <c:v>18.291877388417618</c:v>
                </c:pt>
                <c:pt idx="7">
                  <c:v>18.038103492455221</c:v>
                </c:pt>
                <c:pt idx="8">
                  <c:v>17.780449053970642</c:v>
                </c:pt>
                <c:pt idx="9">
                  <c:v>17.518742580599415</c:v>
                </c:pt>
                <c:pt idx="10">
                  <c:v>17.252799398089564</c:v>
                </c:pt>
                <c:pt idx="11">
                  <c:v>16.982420183214586</c:v>
                </c:pt>
                <c:pt idx="12">
                  <c:v>16.707389279669798</c:v>
                </c:pt>
                <c:pt idx="13">
                  <c:v>16.427472756364018</c:v>
                </c:pt>
                <c:pt idx="14">
                  <c:v>16.142416158227178</c:v>
                </c:pt>
                <c:pt idx="15">
                  <c:v>15.851941887820608</c:v>
                </c:pt>
                <c:pt idx="16">
                  <c:v>15.555746140838131</c:v>
                </c:pt>
                <c:pt idx="17">
                  <c:v>15.253495298898898</c:v>
                </c:pt>
                <c:pt idx="18">
                  <c:v>14.944821657288713</c:v>
                </c:pt>
                <c:pt idx="19">
                  <c:v>14.629318331306408</c:v>
                </c:pt>
                <c:pt idx="20">
                  <c:v>14.306533139477423</c:v>
                </c:pt>
                <c:pt idx="21">
                  <c:v>13.975961200577387</c:v>
                </c:pt>
                <c:pt idx="22">
                  <c:v>13.63703589751934</c:v>
                </c:pt>
                <c:pt idx="23">
                  <c:v>13.289117744795263</c:v>
                </c:pt>
                <c:pt idx="24">
                  <c:v>12.931480532296135</c:v>
                </c:pt>
                <c:pt idx="25">
                  <c:v>12.563293883710806</c:v>
                </c:pt>
                <c:pt idx="26">
                  <c:v>12.183601025562616</c:v>
                </c:pt>
                <c:pt idx="27">
                  <c:v>11.791290053772357</c:v>
                </c:pt>
                <c:pt idx="28">
                  <c:v>11.385056209530028</c:v>
                </c:pt>
                <c:pt idx="29">
                  <c:v>10.963351465883918</c:v>
                </c:pt>
                <c:pt idx="30">
                  <c:v>10.524315781125253</c:v>
                </c:pt>
                <c:pt idx="31">
                  <c:v>10.065681143863372</c:v>
                </c:pt>
                <c:pt idx="32">
                  <c:v>9.5846339600210939</c:v>
                </c:pt>
                <c:pt idx="33">
                  <c:v>9.0776112782357714</c:v>
                </c:pt>
                <c:pt idx="34">
                  <c:v>8.5399872410567355</c:v>
                </c:pt>
                <c:pt idx="35">
                  <c:v>7.9655674554058038</c:v>
                </c:pt>
                <c:pt idx="36">
                  <c:v>7.3457242664341322</c:v>
                </c:pt>
                <c:pt idx="37">
                  <c:v>6.667801170860308</c:v>
                </c:pt>
                <c:pt idx="38">
                  <c:v>5.9118505802937307</c:v>
                </c:pt>
                <c:pt idx="39">
                  <c:v>5.0429028848894717</c:v>
                </c:pt>
                <c:pt idx="40">
                  <c:v>3.9877611676744777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50-48CB-9E85-34261B2B7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732431"/>
        <c:axId val="716733263"/>
      </c:scatterChart>
      <c:valAx>
        <c:axId val="716732431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40000"/>
                <a:lumOff val="6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716733263"/>
        <c:crosses val="autoZero"/>
        <c:crossBetween val="midCat"/>
      </c:valAx>
      <c:valAx>
        <c:axId val="71673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solidFill>
            <a:schemeClr val="accent1">
              <a:lumMod val="20000"/>
              <a:lumOff val="80000"/>
            </a:schemeClr>
          </a:solidFill>
          <a:ln w="9525" cap="flat" cmpd="sng" algn="ctr">
            <a:solidFill>
              <a:schemeClr val="accent1">
                <a:lumMod val="40000"/>
                <a:lumOff val="6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7167324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 i="0" baseline="0">
          <a:solidFill>
            <a:schemeClr val="accent2">
              <a:lumMod val="50000"/>
            </a:schemeClr>
          </a:solidFill>
        </a:defRPr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517149</xdr:colOff>
      <xdr:row>18</xdr:row>
      <xdr:rowOff>12885</xdr:rowOff>
    </xdr:from>
    <xdr:to>
      <xdr:col>8</xdr:col>
      <xdr:colOff>430414</xdr:colOff>
      <xdr:row>32</xdr:row>
      <xdr:rowOff>47624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76200</xdr:colOff>
      <xdr:row>1</xdr:row>
      <xdr:rowOff>9525</xdr:rowOff>
    </xdr:from>
    <xdr:ext cx="3409950" cy="28872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Szövegdoboz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3204796" y="200025"/>
              <a:ext cx="3409950" cy="2887201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cap="rnd">
              <a:solidFill>
                <a:schemeClr val="accent2">
                  <a:lumMod val="50000"/>
                </a:schemeClr>
              </a:solidFill>
            </a:ln>
            <a:effectLst>
              <a:softEdge rad="12700"/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hu-HU" sz="1100">
                  <a:solidFill>
                    <a:schemeClr val="accent1">
                      <a:lumMod val="50000"/>
                    </a:schemeClr>
                  </a:solidFill>
                </a:rPr>
                <a:t>A csereopció egy olyan származtatott termék, amelyben</a:t>
              </a:r>
              <a:r>
                <a:rPr lang="hu-HU" sz="1100" baseline="0">
                  <a:solidFill>
                    <a:schemeClr val="accent1">
                      <a:lumMod val="50000"/>
                    </a:schemeClr>
                  </a:solidFill>
                </a:rPr>
                <a:t> lehetőségünk van két kockázatos terméket elcserélnünk egy előre meghatározott időpontban. Tegyük fel, hogy a két kockázatos termék árai geometriai Brown mozgást követnek, az őket meghajtó Wiener folyamatok korrelációi </a:t>
              </a:r>
              <a:r>
                <a:rPr lang="el-GR" sz="1100" baseline="0">
                  <a:solidFill>
                    <a:schemeClr val="accent1">
                      <a:lumMod val="50000"/>
                    </a:schemeClr>
                  </a:solidFill>
                </a:rPr>
                <a:t>ρ</a:t>
              </a:r>
              <a:r>
                <a:rPr lang="hu-HU" sz="1100" baseline="0">
                  <a:solidFill>
                    <a:schemeClr val="accent1">
                      <a:lumMod val="50000"/>
                    </a:schemeClr>
                  </a:solidFill>
                </a:rPr>
                <a:t>. Ekkor az árfolyamok a Q-mérték szerint az alábbiak szerint alakulnak: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𝑑</m:t>
                    </m:r>
                    <m:sSub>
                      <m:sSubPr>
                        <m:ctrlP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𝑑𝑡</m:t>
                    </m:r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𝑣</m:t>
                    </m:r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1</m:t>
                    </m:r>
                    <m:sSub>
                      <m:sSubPr>
                        <m:ctrlP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𝑑𝑊</m:t>
                    </m:r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1;</m:t>
                    </m:r>
                  </m:oMath>
                </m:oMathPara>
              </a14:m>
              <a:endParaRPr lang="hu-HU" sz="1100" baseline="0">
                <a:solidFill>
                  <a:schemeClr val="accent1">
                    <a:lumMod val="50000"/>
                  </a:schemeClr>
                </a:solidFill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𝑑</m:t>
                    </m:r>
                    <m:sSub>
                      <m:sSubPr>
                        <m:ctrlP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𝑑𝑡</m:t>
                    </m:r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𝑣</m:t>
                    </m:r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2</m:t>
                    </m:r>
                    <m:sSub>
                      <m:sSubPr>
                        <m:ctrlP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𝑑𝑊</m:t>
                    </m:r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2.</m:t>
                    </m:r>
                  </m:oMath>
                </m:oMathPara>
              </a14:m>
              <a:endParaRPr lang="hu-HU" sz="1100" baseline="0">
                <a:solidFill>
                  <a:schemeClr val="accent1">
                    <a:lumMod val="50000"/>
                  </a:schemeClr>
                </a:solidFill>
              </a:endParaRPr>
            </a:p>
            <a:p>
              <a:r>
                <a:rPr lang="hu-HU" sz="1100" baseline="0">
                  <a:solidFill>
                    <a:schemeClr val="accent1">
                      <a:lumMod val="50000"/>
                    </a:schemeClr>
                  </a:solidFill>
                </a:rPr>
                <a:t>A csereopció értékére Margrabe adott formulát: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𝑀𝑎𝑟𝑔𝑟𝑎𝑏𝑒</m:t>
                    </m:r>
                    <m:d>
                      <m:dPr>
                        <m:ctrlP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hu-HU" sz="1100" b="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hu-HU" sz="110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𝑋</m:t>
                            </m:r>
                          </m:e>
                          <m:sub>
                            <m:r>
                              <a:rPr lang="hu-HU" sz="110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d>
                          <m:dPr>
                            <m:ctrlPr>
                              <a:rPr lang="hu-HU" sz="1100" b="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hu-HU" sz="110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0</m:t>
                            </m:r>
                          </m:e>
                        </m:d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hu-HU" sz="1100" b="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hu-HU" sz="110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𝑋</m:t>
                            </m:r>
                          </m:e>
                          <m:sub>
                            <m:r>
                              <a:rPr lang="hu-HU" sz="110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d>
                          <m:dPr>
                            <m:ctrlPr>
                              <a:rPr lang="hu-HU" sz="1100" b="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hu-HU" sz="110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0</m:t>
                            </m:r>
                          </m:e>
                        </m:d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hu-HU" sz="1100" b="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hu-HU" sz="110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hu-HU" sz="110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hu-HU" sz="1100" b="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hu-HU" sz="110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hu-HU" sz="110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l-GR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d>
                      <m:dPr>
                        <m:ctrlP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0</m:t>
                        </m:r>
                      </m:e>
                    </m:d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hu-HU" sz="1100" b="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hu-HU" sz="110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hu-HU" sz="110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(0)</m:t>
                    </m:r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𝑁</m:t>
                    </m:r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hu-HU" sz="110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hu-HU" sz="110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),</m:t>
                    </m:r>
                  </m:oMath>
                </m:oMathPara>
              </a14:m>
              <a:endParaRPr lang="hu-HU" sz="1100" baseline="0">
                <a:solidFill>
                  <a:schemeClr val="accent1">
                    <a:lumMod val="50000"/>
                  </a:schemeClr>
                </a:solidFill>
              </a:endParaRPr>
            </a:p>
            <a:p>
              <a:r>
                <a:rPr lang="hu-HU" sz="1100" baseline="0">
                  <a:solidFill>
                    <a:schemeClr val="accent1">
                      <a:lumMod val="50000"/>
                    </a:schemeClr>
                  </a:solidFill>
                </a:rPr>
                <a:t>ahol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12</m:t>
                        </m:r>
                      </m:sub>
                    </m:sSub>
                    <m:r>
                      <a:rPr lang="hu-HU" sz="1100" b="0" i="1" baseline="0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hu-HU" sz="1100" b="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hu-HU" sz="1100" b="0" i="0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hu-HU" sz="1100" b="0" i="1" baseline="0">
                                    <a:solidFill>
                                      <a:schemeClr val="accent1">
                                        <a:lumMod val="50000"/>
                                      </a:schemeClr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𝑋</m:t>
                                        </m:r>
                                      </m:e>
                                      <m:sub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  <m:d>
                                      <m:dPr>
                                        <m:ctrlP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0</m:t>
                                        </m:r>
                                      </m:e>
                                    </m:d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𝑋</m:t>
                                        </m:r>
                                      </m:e>
                                      <m:sub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  <m:d>
                                      <m:dPr>
                                        <m:ctrlP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0</m:t>
                                        </m:r>
                                      </m:e>
                                    </m:d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±</m:t>
                        </m:r>
                        <m:f>
                          <m:fPr>
                            <m:ctrlPr>
                              <a:rPr lang="hu-HU" sz="1100" b="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hu-HU" sz="1100" b="0" i="1" baseline="0">
                                    <a:solidFill>
                                      <a:schemeClr val="accent1">
                                        <a:lumMod val="50000"/>
                                      </a:schemeClr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sSubSup>
                                      <m:sSubSupPr>
                                        <m:ctrlP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𝑣</m:t>
                                        </m:r>
                                      </m:e>
                                      <m:sub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1</m:t>
                                        </m:r>
                                      </m:sub>
                                      <m:sup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p>
                                    </m:sSubSup>
                                    <m: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+</m:t>
                                    </m:r>
                                    <m:sSubSup>
                                      <m:sSubSupPr>
                                        <m:ctrlP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𝑣</m:t>
                                        </m:r>
                                      </m:e>
                                      <m:sub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b>
                                      <m:sup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p>
                                    </m:sSubSup>
                                    <m: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−2</m:t>
                                    </m:r>
                                    <m: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𝜌</m:t>
                                    </m:r>
                                    <m:sSub>
                                      <m:sSubPr>
                                        <m:ctrlP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𝑣</m:t>
                                        </m:r>
                                      </m:e>
                                      <m:sub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𝑣</m:t>
                                        </m:r>
                                      </m:e>
                                      <m:sub>
                                        <m:r>
                                          <a:rPr lang="hu-HU" sz="1100" b="0" i="1" baseline="0">
                                            <a:solidFill>
                                              <a:schemeClr val="accent1">
                                                <a:lumMod val="50000"/>
                                              </a:schemeClr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e>
                                </m:d>
                              </m:e>
                              <m:sup>
                                <m:r>
                                  <a:rPr lang="hu-HU" sz="1100" b="0" i="1" baseline="0">
                                    <a:solidFill>
                                      <a:schemeClr val="accent1">
                                        <a:lumMod val="50000"/>
                                      </a:schemeClr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r>
                              <a:rPr lang="hu-HU" sz="1100" b="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  <m:r>
                          <a:rPr lang="hu-HU" sz="1100" b="0" i="1" baseline="0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hu-HU" sz="1100" b="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d>
                              <m:dPr>
                                <m:ctrlPr>
                                  <a:rPr lang="hu-HU" sz="1100" b="0" i="1" baseline="0">
                                    <a:solidFill>
                                      <a:schemeClr val="accent1">
                                        <a:lumMod val="50000"/>
                                      </a:schemeClr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Sup>
                                  <m:sSubSupPr>
                                    <m:ctrlP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𝑣</m:t>
                                    </m:r>
                                  </m:e>
                                  <m:sub>
                                    <m: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  <m:sup>
                                    <m: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hu-HU" sz="1100" b="0" i="1" baseline="0">
                                    <a:solidFill>
                                      <a:schemeClr val="accent1">
                                        <a:lumMod val="50000"/>
                                      </a:schemeClr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sSubSup>
                                  <m:sSubSupPr>
                                    <m:ctrlP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𝑣</m:t>
                                    </m:r>
                                  </m:e>
                                  <m:sub>
                                    <m: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  <m:sup>
                                    <m: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hu-HU" sz="1100" b="0" i="1" baseline="0">
                                    <a:solidFill>
                                      <a:schemeClr val="accent1">
                                        <a:lumMod val="50000"/>
                                      </a:schemeClr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  <m:r>
                                  <a:rPr lang="hu-HU" sz="1100" b="0" i="1" baseline="0">
                                    <a:solidFill>
                                      <a:schemeClr val="accent1">
                                        <a:lumMod val="50000"/>
                                      </a:schemeClr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𝜌</m:t>
                                </m:r>
                                <m:sSub>
                                  <m:sSubPr>
                                    <m:ctrlP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𝑣</m:t>
                                    </m:r>
                                  </m:e>
                                  <m:sub>
                                    <m: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𝑣</m:t>
                                    </m:r>
                                  </m:e>
                                  <m:sub>
                                    <m:r>
                                      <a:rPr lang="hu-HU" sz="1100" b="0" i="1" baseline="0">
                                        <a:solidFill>
                                          <a:schemeClr val="accent1">
                                            <a:lumMod val="50000"/>
                                          </a:schemeClr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hu-HU" sz="1100" b="0" i="1" baseline="0">
                                <a:solidFill>
                                  <a:schemeClr val="accent1">
                                    <a:lumMod val="50000"/>
                                  </a:schemeClr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hu-HU" sz="1100" baseline="0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Szövegdoboz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3204796" y="200025"/>
              <a:ext cx="3409950" cy="2887201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cap="rnd">
              <a:solidFill>
                <a:schemeClr val="accent2">
                  <a:lumMod val="50000"/>
                </a:schemeClr>
              </a:solidFill>
            </a:ln>
            <a:effectLst>
              <a:softEdge rad="12700"/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hu-HU" sz="1100">
                  <a:solidFill>
                    <a:schemeClr val="accent1">
                      <a:lumMod val="50000"/>
                    </a:schemeClr>
                  </a:solidFill>
                </a:rPr>
                <a:t>A csereopció egy olyan származtatott termék, amelyben</a:t>
              </a:r>
              <a:r>
                <a:rPr lang="hu-HU" sz="1100" baseline="0">
                  <a:solidFill>
                    <a:schemeClr val="accent1">
                      <a:lumMod val="50000"/>
                    </a:schemeClr>
                  </a:solidFill>
                </a:rPr>
                <a:t> lehetőségünk van két kockázatos terméket elcserélnünk egy előre meghatározott időpontban. Tegyük fel, hogy a két kockázatos termék árai geometriai Brown mozgást követnek, az őket meghajtó Wiener folyamatok korrelációi </a:t>
              </a:r>
              <a:r>
                <a:rPr lang="el-GR" sz="1100" baseline="0">
                  <a:solidFill>
                    <a:schemeClr val="accent1">
                      <a:lumMod val="50000"/>
                    </a:schemeClr>
                  </a:solidFill>
                </a:rPr>
                <a:t>ρ</a:t>
              </a:r>
              <a:r>
                <a:rPr lang="hu-HU" sz="1100" baseline="0">
                  <a:solidFill>
                    <a:schemeClr val="accent1">
                      <a:lumMod val="50000"/>
                    </a:schemeClr>
                  </a:solidFill>
                </a:rPr>
                <a:t>. Ekkor az árfolyamok a Q-mérték szerint az alábbiak szerint alakulnak:</a:t>
              </a:r>
            </a:p>
            <a:p>
              <a:pPr/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𝑑𝑋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1=𝑟𝑋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1 𝑑𝑡+𝑣1𝑋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1 𝑑𝑊1;</a:t>
              </a:r>
              <a:endParaRPr lang="hu-HU" sz="1100" baseline="0">
                <a:solidFill>
                  <a:schemeClr val="accent1">
                    <a:lumMod val="50000"/>
                  </a:schemeClr>
                </a:solidFill>
              </a:endParaRPr>
            </a:p>
            <a:p>
              <a:pPr/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𝑑𝑋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2=𝑟𝑋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2 𝑑𝑡+𝑣2𝑋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2 𝑑𝑊2.</a:t>
              </a:r>
              <a:endParaRPr lang="hu-HU" sz="1100" baseline="0">
                <a:solidFill>
                  <a:schemeClr val="accent1">
                    <a:lumMod val="50000"/>
                  </a:schemeClr>
                </a:solidFill>
              </a:endParaRPr>
            </a:p>
            <a:p>
              <a:r>
                <a:rPr lang="hu-HU" sz="1100" baseline="0">
                  <a:solidFill>
                    <a:schemeClr val="accent1">
                      <a:lumMod val="50000"/>
                    </a:schemeClr>
                  </a:solidFill>
                </a:rPr>
                <a:t>A csereopció értékére Margrabe adott formulát:</a:t>
              </a:r>
            </a:p>
            <a:p>
              <a:pPr/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𝑀𝑎𝑟𝑔𝑟𝑎𝑏𝑒(𝑋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1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(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0),𝑋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(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0),𝑣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1,𝑣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2,</a:t>
              </a:r>
              <a:r>
                <a:rPr lang="el-GR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𝜌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,𝑇)=𝑋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1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(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0)𝑁(𝑑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1 )−𝑋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2 (0)𝑁(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𝑑_</a:t>
              </a:r>
              <a:r>
                <a:rPr lang="hu-HU" sz="110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2),</a:t>
              </a:r>
              <a:endParaRPr lang="hu-HU" sz="1100" baseline="0">
                <a:solidFill>
                  <a:schemeClr val="accent1">
                    <a:lumMod val="50000"/>
                  </a:schemeClr>
                </a:solidFill>
              </a:endParaRPr>
            </a:p>
            <a:p>
              <a:r>
                <a:rPr lang="hu-HU" sz="1100" baseline="0">
                  <a:solidFill>
                    <a:schemeClr val="accent1">
                      <a:lumMod val="50000"/>
                    </a:schemeClr>
                  </a:solidFill>
                </a:rPr>
                <a:t>ahol</a:t>
              </a:r>
            </a:p>
            <a:p>
              <a:pPr/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𝑑_12=(ln⁡((𝑋_1 (0))/(𝑋_2 (0) ))±(𝑣_1^2+𝑣_2^2−2𝜌𝑣_1 𝑣_2 )^2/2 𝑇)/√(</a:t>
              </a:r>
              <a:r>
                <a:rPr lang="hu-HU" sz="1100" b="0" i="0" baseline="0">
                  <a:solidFill>
                    <a:schemeClr val="accent1">
                      <a:lumMod val="50000"/>
                    </a:schemeClr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(𝑣_1^2+𝑣_2^2−2𝜌𝑣_1 𝑣_2 )𝑇)</a:t>
              </a:r>
              <a:endParaRPr lang="hu-HU" sz="1100" baseline="0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134472</xdr:colOff>
      <xdr:row>18</xdr:row>
      <xdr:rowOff>11206</xdr:rowOff>
    </xdr:from>
    <xdr:ext cx="2711824" cy="2655793"/>
    <xdr:sp macro="" textlink="">
      <xdr:nvSpPr>
        <xdr:cNvPr id="7" name="Szövegdoboz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34472" y="3525931"/>
          <a:ext cx="2711824" cy="265579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hu-HU" sz="1100">
              <a:solidFill>
                <a:schemeClr val="accent1">
                  <a:lumMod val="50000"/>
                </a:schemeClr>
              </a:solidFill>
            </a:rPr>
            <a:t>Ha</a:t>
          </a:r>
          <a:r>
            <a:rPr lang="hu-HU" sz="1100" baseline="0">
              <a:solidFill>
                <a:schemeClr val="accent1">
                  <a:lumMod val="50000"/>
                </a:schemeClr>
              </a:solidFill>
            </a:rPr>
            <a:t> Monte Carlo szimulációval szeretnék árazni, akkor a két kockázatos termék lejáratkori árfolyaimat lognormális eloszlásokkal tudjuk szimulálni. Kiszámoljuk a trajektóriákon, hogy mennyit érne a csereopció, ezt átlagoljuk, majd a kapott értéket diszkontáljuk.</a:t>
          </a:r>
        </a:p>
        <a:p>
          <a:r>
            <a:rPr lang="hu-HU" sz="1100" baseline="0">
              <a:solidFill>
                <a:schemeClr val="accent1">
                  <a:lumMod val="50000"/>
                </a:schemeClr>
              </a:solidFill>
            </a:rPr>
            <a:t>Az 'Alaphelyzet' nevű nyomógomb a Kísérletek számát 1000-re állítja, majd lefuttat egy Monte Carlo szimulációt.</a:t>
          </a:r>
        </a:p>
        <a:p>
          <a:r>
            <a:rPr lang="hu-HU" sz="1100" baseline="0">
              <a:solidFill>
                <a:schemeClr val="accent1">
                  <a:lumMod val="50000"/>
                </a:schemeClr>
              </a:solidFill>
            </a:rPr>
            <a:t>Ha nagyobb elemszámú kísérletet szeretnénk elvégezni, akkor a kísérletek számát manuálisan is beállíthatjuk, majd az 'MC szimuláció' nevű nyomógomb elindítja a kívánt szimulációt.</a:t>
          </a:r>
          <a:endParaRPr lang="hu-HU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oneCellAnchor>
  <xdr:oneCellAnchor>
    <xdr:from>
      <xdr:col>0</xdr:col>
      <xdr:colOff>147357</xdr:colOff>
      <xdr:row>32</xdr:row>
      <xdr:rowOff>115980</xdr:rowOff>
    </xdr:from>
    <xdr:ext cx="6462993" cy="609013"/>
    <xdr:sp macro="" textlink="">
      <xdr:nvSpPr>
        <xdr:cNvPr id="8" name="Szövegdoboz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47357" y="6297705"/>
          <a:ext cx="6462993" cy="60901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hu-HU" sz="1100">
              <a:solidFill>
                <a:schemeClr val="accent1">
                  <a:lumMod val="50000"/>
                </a:schemeClr>
              </a:solidFill>
            </a:rPr>
            <a:t>A Margrabe és Black Scholes képletek között nagy</a:t>
          </a:r>
          <a:r>
            <a:rPr lang="hu-HU" sz="1100" baseline="0">
              <a:solidFill>
                <a:schemeClr val="accent1">
                  <a:lumMod val="50000"/>
                </a:schemeClr>
              </a:solidFill>
            </a:rPr>
            <a:t> a hasonlóság, ráadásul ha a második termék kockázatmentes, vagyis a varianciája 0, akkor a diszkontált kötési árfolyammal a Margrabe-képlet és a Black-Scholes képlet értéke megegyezik.</a:t>
          </a:r>
          <a:endParaRPr lang="hu-HU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oneCellAnchor>
  <xdr:oneCellAnchor>
    <xdr:from>
      <xdr:col>0</xdr:col>
      <xdr:colOff>114301</xdr:colOff>
      <xdr:row>8</xdr:row>
      <xdr:rowOff>11237</xdr:rowOff>
    </xdr:from>
    <xdr:ext cx="1080000" cy="360000"/>
    <xdr:sp macro="[0]!alaphelyzet" textlink="">
      <xdr:nvSpPr>
        <xdr:cNvPr id="3" name="Téglalap: lekerekített 2">
          <a:extLst>
            <a:ext uri="{FF2B5EF4-FFF2-40B4-BE49-F238E27FC236}">
              <a16:creationId xmlns:a16="http://schemas.microsoft.com/office/drawing/2014/main" id="{356045F9-F59C-B054-2ED0-43C2BE9FADF6}"/>
            </a:ext>
          </a:extLst>
        </xdr:cNvPr>
        <xdr:cNvSpPr/>
      </xdr:nvSpPr>
      <xdr:spPr>
        <a:xfrm>
          <a:off x="114301" y="1554287"/>
          <a:ext cx="1080000" cy="360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hu-HU" sz="1100" b="1" i="0" baseline="0">
              <a:solidFill>
                <a:schemeClr val="accent1">
                  <a:lumMod val="50000"/>
                </a:schemeClr>
              </a:solidFill>
            </a:rPr>
            <a:t>Alaphelyzet</a:t>
          </a:r>
        </a:p>
      </xdr:txBody>
    </xdr:sp>
    <xdr:clientData/>
  </xdr:oneCellAnchor>
  <xdr:twoCellAnchor>
    <xdr:from>
      <xdr:col>0</xdr:col>
      <xdr:colOff>1289795</xdr:colOff>
      <xdr:row>8</xdr:row>
      <xdr:rowOff>11206</xdr:rowOff>
    </xdr:from>
    <xdr:to>
      <xdr:col>1</xdr:col>
      <xdr:colOff>744942</xdr:colOff>
      <xdr:row>9</xdr:row>
      <xdr:rowOff>180706</xdr:rowOff>
    </xdr:to>
    <xdr:sp macro="[0]!MC_szimulacio" textlink="">
      <xdr:nvSpPr>
        <xdr:cNvPr id="4" name="Téglalap: lekerekített 3">
          <a:extLst>
            <a:ext uri="{FF2B5EF4-FFF2-40B4-BE49-F238E27FC236}">
              <a16:creationId xmlns:a16="http://schemas.microsoft.com/office/drawing/2014/main" id="{337F5525-4A14-4D23-E113-20D7C3941CC6}"/>
            </a:ext>
          </a:extLst>
        </xdr:cNvPr>
        <xdr:cNvSpPr/>
      </xdr:nvSpPr>
      <xdr:spPr>
        <a:xfrm>
          <a:off x="1289795" y="1554256"/>
          <a:ext cx="1074397" cy="360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hu-HU" sz="1100" b="1">
              <a:solidFill>
                <a:schemeClr val="accent1">
                  <a:lumMod val="50000"/>
                </a:schemeClr>
              </a:solidFill>
            </a:rPr>
            <a:t>MC </a:t>
          </a:r>
          <a:r>
            <a:rPr lang="hu-HU" sz="1100" b="1" baseline="0">
              <a:solidFill>
                <a:schemeClr val="accent1">
                  <a:lumMod val="50000"/>
                </a:schemeClr>
              </a:solidFill>
            </a:rPr>
            <a:t>szimuláció</a:t>
          </a:r>
        </a:p>
      </xdr:txBody>
    </xdr:sp>
    <xdr:clientData/>
  </xdr:twoCellAnchor>
  <xdr:twoCellAnchor>
    <xdr:from>
      <xdr:col>2</xdr:col>
      <xdr:colOff>228600</xdr:colOff>
      <xdr:row>10</xdr:row>
      <xdr:rowOff>69603</xdr:rowOff>
    </xdr:from>
    <xdr:to>
      <xdr:col>2</xdr:col>
      <xdr:colOff>444600</xdr:colOff>
      <xdr:row>11</xdr:row>
      <xdr:rowOff>85578</xdr:rowOff>
    </xdr:to>
    <xdr:sp macro="[0]!Down" textlink="">
      <xdr:nvSpPr>
        <xdr:cNvPr id="9" name="Folyamatábra: Kigyűjtés 8">
          <a:extLst>
            <a:ext uri="{FF2B5EF4-FFF2-40B4-BE49-F238E27FC236}">
              <a16:creationId xmlns:a16="http://schemas.microsoft.com/office/drawing/2014/main" id="{299909D4-7791-19AF-1EC1-0B6302AD9747}"/>
            </a:ext>
          </a:extLst>
        </xdr:cNvPr>
        <xdr:cNvSpPr/>
      </xdr:nvSpPr>
      <xdr:spPr>
        <a:xfrm flipV="1">
          <a:off x="2697773" y="1996584"/>
          <a:ext cx="216000" cy="213802"/>
        </a:xfrm>
        <a:prstGeom prst="flowChartExtract">
          <a:avLst/>
        </a:prstGeom>
        <a:solidFill>
          <a:schemeClr val="accent1">
            <a:lumMod val="20000"/>
            <a:lumOff val="80000"/>
          </a:schemeClr>
        </a:solidFill>
        <a:ln w="69850"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  <xdr:twoCellAnchor>
    <xdr:from>
      <xdr:col>2</xdr:col>
      <xdr:colOff>228600</xdr:colOff>
      <xdr:row>6</xdr:row>
      <xdr:rowOff>123825</xdr:rowOff>
    </xdr:from>
    <xdr:to>
      <xdr:col>2</xdr:col>
      <xdr:colOff>444600</xdr:colOff>
      <xdr:row>7</xdr:row>
      <xdr:rowOff>139800</xdr:rowOff>
    </xdr:to>
    <xdr:sp macro="[0]!Up" textlink="">
      <xdr:nvSpPr>
        <xdr:cNvPr id="10" name="Folyamatábra: Kigyűjtés 9">
          <a:extLst>
            <a:ext uri="{FF2B5EF4-FFF2-40B4-BE49-F238E27FC236}">
              <a16:creationId xmlns:a16="http://schemas.microsoft.com/office/drawing/2014/main" id="{2EA45DC2-5279-EC3E-0E57-7D49A788F315}"/>
            </a:ext>
          </a:extLst>
        </xdr:cNvPr>
        <xdr:cNvSpPr/>
      </xdr:nvSpPr>
      <xdr:spPr>
        <a:xfrm>
          <a:off x="2695575" y="1266825"/>
          <a:ext cx="216000" cy="216000"/>
        </a:xfrm>
        <a:prstGeom prst="flowChartExtract">
          <a:avLst/>
        </a:prstGeom>
        <a:solidFill>
          <a:schemeClr val="accent1">
            <a:lumMod val="20000"/>
            <a:lumOff val="80000"/>
          </a:schemeClr>
        </a:solidFill>
        <a:ln w="69850"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1</xdr:row>
      <xdr:rowOff>19050</xdr:rowOff>
    </xdr:from>
    <xdr:to>
      <xdr:col>9</xdr:col>
      <xdr:colOff>428625</xdr:colOff>
      <xdr:row>15</xdr:row>
      <xdr:rowOff>95250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– 2022 té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5FABE-9283-4A38-BFB2-E27E2E39F7FC}">
  <sheetPr codeName="Munka2"/>
  <dimension ref="A1:AW129"/>
  <sheetViews>
    <sheetView tabSelected="1" zoomScale="85" zoomScaleNormal="85" workbookViewId="0">
      <selection activeCell="B5" sqref="B5"/>
    </sheetView>
  </sheetViews>
  <sheetFormatPr defaultRowHeight="15" x14ac:dyDescent="0.25"/>
  <cols>
    <col min="1" max="1" width="24.28515625" style="1" bestFit="1" customWidth="1"/>
    <col min="2" max="2" width="12.7109375" style="1" bestFit="1" customWidth="1"/>
    <col min="3" max="3" width="9.85546875" style="1" bestFit="1" customWidth="1"/>
    <col min="4" max="9" width="9.140625" style="1"/>
    <col min="10" max="10" width="8" style="1" customWidth="1"/>
    <col min="11" max="13" width="9.140625" style="1"/>
    <col min="14" max="14" width="10.28515625" style="1" bestFit="1" customWidth="1"/>
    <col min="15" max="16" width="9.140625" style="1"/>
    <col min="17" max="17" width="10.85546875" style="1" bestFit="1" customWidth="1"/>
    <col min="18" max="20" width="9.140625" style="1"/>
    <col min="21" max="21" width="11.7109375" style="1" bestFit="1" customWidth="1"/>
    <col min="22" max="22" width="10.7109375" style="1" bestFit="1" customWidth="1"/>
    <col min="23" max="16384" width="9.140625" style="1"/>
  </cols>
  <sheetData>
    <row r="1" spans="1:49" x14ac:dyDescent="0.25">
      <c r="A1" s="10" t="s">
        <v>7</v>
      </c>
      <c r="B1" s="12">
        <v>100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49" x14ac:dyDescent="0.25">
      <c r="A2" s="10" t="s">
        <v>8</v>
      </c>
      <c r="B2" s="12">
        <v>100</v>
      </c>
      <c r="C2" s="3"/>
      <c r="D2" s="3"/>
      <c r="E2" s="3"/>
      <c r="F2" s="3"/>
      <c r="G2" s="3"/>
      <c r="H2" s="3"/>
      <c r="I2" s="3"/>
      <c r="J2" s="47" t="s">
        <v>5</v>
      </c>
      <c r="K2" s="47"/>
      <c r="L2" s="3"/>
      <c r="M2" s="3"/>
      <c r="N2" s="3"/>
      <c r="O2" s="3"/>
      <c r="P2" s="3"/>
      <c r="Q2" s="3"/>
      <c r="R2" s="3"/>
      <c r="S2" s="3"/>
      <c r="T2" s="47" t="s">
        <v>20</v>
      </c>
      <c r="U2" s="47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x14ac:dyDescent="0.25">
      <c r="A3" s="10" t="s">
        <v>0</v>
      </c>
      <c r="B3" s="13">
        <v>0.1</v>
      </c>
      <c r="C3" s="3"/>
      <c r="D3" s="3"/>
      <c r="E3" s="3"/>
      <c r="F3" s="3"/>
      <c r="G3" s="3"/>
      <c r="H3" s="3"/>
      <c r="I3" s="3"/>
      <c r="J3" s="10" t="s">
        <v>2</v>
      </c>
      <c r="K3" s="10" t="s">
        <v>3</v>
      </c>
      <c r="L3" s="10" t="s">
        <v>4</v>
      </c>
      <c r="M3" s="10" t="s">
        <v>16</v>
      </c>
      <c r="N3" s="10" t="s">
        <v>17</v>
      </c>
      <c r="O3" s="10" t="s">
        <v>14</v>
      </c>
      <c r="P3" s="10" t="s">
        <v>15</v>
      </c>
      <c r="Q3" s="10" t="s">
        <v>21</v>
      </c>
      <c r="R3" s="10" t="s">
        <v>13</v>
      </c>
      <c r="S3" s="3"/>
      <c r="T3" s="10" t="s">
        <v>25</v>
      </c>
      <c r="U3" s="10" t="s">
        <v>26</v>
      </c>
      <c r="V3" s="10" t="s">
        <v>19</v>
      </c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</row>
    <row r="4" spans="1:49" x14ac:dyDescent="0.25">
      <c r="A4" s="10" t="s">
        <v>1</v>
      </c>
      <c r="B4" s="13">
        <v>0</v>
      </c>
      <c r="C4" s="3"/>
      <c r="D4" s="3"/>
      <c r="E4" s="3"/>
      <c r="F4" s="3"/>
      <c r="G4" s="3"/>
      <c r="H4" s="3"/>
      <c r="I4" s="3"/>
      <c r="J4" s="10">
        <v>1</v>
      </c>
      <c r="K4" s="26">
        <f ca="1">_xlfn.NORM.S.INV(RAND())</f>
        <v>-0.85442665389243699</v>
      </c>
      <c r="L4" s="27">
        <f ca="1">_xlfn.NORM.S.INV(RAND())</f>
        <v>-4.9409719402699545E-2</v>
      </c>
      <c r="M4" s="27">
        <f ca="1">K4</f>
        <v>-0.85442665389243699</v>
      </c>
      <c r="N4" s="27">
        <f ca="1">$B$5*K4+SQRT(1-$B$5^2)*L4</f>
        <v>-0.63338425520358221</v>
      </c>
      <c r="O4" s="27">
        <f ca="1">$B$1*EXP(($B$7-$B$3*$B$3/2)*$B$6+$B$3*M4*SQRT($B$6))</f>
        <v>102.99984883413975</v>
      </c>
      <c r="P4" s="27">
        <f ca="1">$B$2*EXP(($B$7-$B$4*$B$4/2)*$B$6+$B$4*N4*SQRT($B$6))</f>
        <v>112.74968515793758</v>
      </c>
      <c r="Q4" s="27">
        <f ca="1">O4-P4</f>
        <v>-9.7498363237978225</v>
      </c>
      <c r="R4" s="28">
        <f t="shared" ref="R4:R35" ca="1" si="0">MAX(0,O4-P4)</f>
        <v>0</v>
      </c>
      <c r="S4" s="3"/>
      <c r="T4" s="17">
        <f>-10*$B$8</f>
        <v>-39.87761167674492</v>
      </c>
      <c r="U4" s="20">
        <f ca="1">COUNTIFS(Q4:Q103,"&lt;"&amp;T4)</f>
        <v>0</v>
      </c>
      <c r="V4" s="21">
        <v>0</v>
      </c>
      <c r="W4" s="6">
        <f>V4</f>
        <v>0</v>
      </c>
      <c r="X4" s="6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x14ac:dyDescent="0.25">
      <c r="A5" s="10" t="s">
        <v>11</v>
      </c>
      <c r="B5" s="13">
        <v>0.7</v>
      </c>
      <c r="C5" s="3"/>
      <c r="D5" s="3"/>
      <c r="E5" s="3"/>
      <c r="F5" s="3"/>
      <c r="G5" s="3"/>
      <c r="H5" s="3"/>
      <c r="I5" s="3"/>
      <c r="J5" s="10">
        <v>2</v>
      </c>
      <c r="K5" s="29">
        <f t="shared" ref="K5:K68" ca="1" si="1">_xlfn.NORM.S.INV(RAND())</f>
        <v>1.0544745732953709</v>
      </c>
      <c r="L5" s="30">
        <f t="shared" ref="L5:L68" ca="1" si="2">_xlfn.NORM.S.INV(RAND())</f>
        <v>2.9490575325155506</v>
      </c>
      <c r="M5" s="30">
        <f t="shared" ref="M5:M68" ca="1" si="3">K5</f>
        <v>1.0544745732953709</v>
      </c>
      <c r="N5" s="30">
        <f t="shared" ref="N5:N68" ca="1" si="4">$B$5*K5+SQRT(1-$B$5^2)*L5</f>
        <v>2.8441805313182575</v>
      </c>
      <c r="O5" s="30">
        <f t="shared" ref="O5:O68" ca="1" si="5">$B$1*EXP(($B$7-$B$3*$B$3/2)*$B$6+$B$3*M5*SQRT($B$6))</f>
        <v>124.66344215157896</v>
      </c>
      <c r="P5" s="30">
        <f t="shared" ref="P5:P68" ca="1" si="6">$B$2*EXP(($B$7-$B$4*$B$4/2)*$B$6+$B$4*N5*SQRT($B$6))</f>
        <v>112.74968515793758</v>
      </c>
      <c r="Q5" s="30">
        <f t="shared" ref="Q5:Q68" ca="1" si="7">O5-P5</f>
        <v>11.913756993641385</v>
      </c>
      <c r="R5" s="31">
        <f t="shared" ca="1" si="0"/>
        <v>11.913756993641385</v>
      </c>
      <c r="S5" s="3"/>
      <c r="T5" s="17">
        <f>0.5*$B$8+T4</f>
        <v>-37.883731092907674</v>
      </c>
      <c r="U5" s="22">
        <f t="shared" ref="U5:U44" ca="1" si="8">COUNTIFS($Q$4:$Q$103,"&gt;"&amp;T4,$Q$4:$Q$103,"&lt;"&amp;T5)</f>
        <v>0</v>
      </c>
      <c r="V5" s="23">
        <v>0</v>
      </c>
      <c r="W5" s="6">
        <f t="shared" ref="W5:W23" si="9">V5</f>
        <v>0</v>
      </c>
      <c r="X5" s="6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</row>
    <row r="6" spans="1:49" x14ac:dyDescent="0.25">
      <c r="A6" s="10" t="s">
        <v>22</v>
      </c>
      <c r="B6" s="12">
        <v>1</v>
      </c>
      <c r="C6" s="3"/>
      <c r="D6" s="3"/>
      <c r="E6" s="3"/>
      <c r="F6" s="3"/>
      <c r="G6" s="3"/>
      <c r="H6" s="3"/>
      <c r="I6" s="3"/>
      <c r="J6" s="10">
        <v>3</v>
      </c>
      <c r="K6" s="29">
        <f t="shared" ca="1" si="1"/>
        <v>-5.2411498494794151E-2</v>
      </c>
      <c r="L6" s="30">
        <f t="shared" ca="1" si="2"/>
        <v>0.78276410274996799</v>
      </c>
      <c r="M6" s="30">
        <f t="shared" ca="1" si="3"/>
        <v>-5.2411498494794151E-2</v>
      </c>
      <c r="N6" s="30">
        <f t="shared" ca="1" si="4"/>
        <v>0.52231733267578984</v>
      </c>
      <c r="O6" s="30">
        <f t="shared" ca="1" si="5"/>
        <v>111.60089126251928</v>
      </c>
      <c r="P6" s="30">
        <f t="shared" ca="1" si="6"/>
        <v>112.74968515793758</v>
      </c>
      <c r="Q6" s="30">
        <f t="shared" ca="1" si="7"/>
        <v>-1.1487938954182937</v>
      </c>
      <c r="R6" s="31">
        <f t="shared" ca="1" si="0"/>
        <v>0</v>
      </c>
      <c r="S6" s="3"/>
      <c r="T6" s="17">
        <f t="shared" ref="T6:T44" si="10">0.5*$B$8+T5</f>
        <v>-35.889850509070428</v>
      </c>
      <c r="U6" s="22">
        <f t="shared" ca="1" si="8"/>
        <v>0</v>
      </c>
      <c r="V6" s="23">
        <v>0</v>
      </c>
      <c r="W6" s="6">
        <f t="shared" si="9"/>
        <v>0</v>
      </c>
      <c r="X6" s="6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</row>
    <row r="7" spans="1:49" x14ac:dyDescent="0.25">
      <c r="A7" s="10" t="s">
        <v>6</v>
      </c>
      <c r="B7" s="15">
        <v>0.12</v>
      </c>
      <c r="C7" s="3"/>
      <c r="D7" s="3"/>
      <c r="E7" s="3"/>
      <c r="F7" s="3"/>
      <c r="G7" s="3"/>
      <c r="H7" s="3"/>
      <c r="I7" s="3"/>
      <c r="J7" s="10">
        <v>4</v>
      </c>
      <c r="K7" s="29">
        <f ca="1">_xlfn.NORM.S.INV(RAND())</f>
        <v>-0.37600974649763558</v>
      </c>
      <c r="L7" s="30">
        <f t="shared" ca="1" si="2"/>
        <v>-1.358025505224346</v>
      </c>
      <c r="M7" s="30">
        <f t="shared" ca="1" si="3"/>
        <v>-0.37600974649763558</v>
      </c>
      <c r="N7" s="30">
        <f t="shared" ca="1" si="4"/>
        <v>-1.233031017517886</v>
      </c>
      <c r="O7" s="30">
        <f t="shared" ca="1" si="5"/>
        <v>108.04731265546546</v>
      </c>
      <c r="P7" s="30">
        <f t="shared" ca="1" si="6"/>
        <v>112.74968515793758</v>
      </c>
      <c r="Q7" s="30">
        <f t="shared" ca="1" si="7"/>
        <v>-4.7023725024721159</v>
      </c>
      <c r="R7" s="31">
        <f t="shared" ca="1" si="0"/>
        <v>0</v>
      </c>
      <c r="S7" s="3"/>
      <c r="T7" s="17">
        <f t="shared" si="10"/>
        <v>-33.895969925233182</v>
      </c>
      <c r="U7" s="22">
        <f t="shared" ca="1" si="8"/>
        <v>0</v>
      </c>
      <c r="V7" s="23">
        <v>0</v>
      </c>
      <c r="W7" s="6">
        <f t="shared" si="9"/>
        <v>0</v>
      </c>
      <c r="X7" s="6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x14ac:dyDescent="0.25">
      <c r="A8" s="11" t="s">
        <v>23</v>
      </c>
      <c r="B8" s="14" cm="1">
        <f t="array" ref="B8">margrabe(B1,B2,B3,B4,B5,B6)</f>
        <v>3.987761167674492</v>
      </c>
      <c r="C8" s="3"/>
      <c r="D8" s="3"/>
      <c r="E8" s="3"/>
      <c r="F8" s="3"/>
      <c r="G8" s="3"/>
      <c r="H8" s="3"/>
      <c r="I8" s="3"/>
      <c r="J8" s="10">
        <v>5</v>
      </c>
      <c r="K8" s="29">
        <f t="shared" ca="1" si="1"/>
        <v>-0.23252868676059085</v>
      </c>
      <c r="L8" s="30">
        <f t="shared" ca="1" si="2"/>
        <v>-1.5991274934060176</v>
      </c>
      <c r="M8" s="30">
        <f t="shared" ca="1" si="3"/>
        <v>-0.23252868676059085</v>
      </c>
      <c r="N8" s="30">
        <f t="shared" ca="1" si="4"/>
        <v>-1.3047755349598338</v>
      </c>
      <c r="O8" s="30">
        <f t="shared" ca="1" si="5"/>
        <v>109.6087620809016</v>
      </c>
      <c r="P8" s="30">
        <f t="shared" ca="1" si="6"/>
        <v>112.74968515793758</v>
      </c>
      <c r="Q8" s="30">
        <f t="shared" ca="1" si="7"/>
        <v>-3.1409230770359784</v>
      </c>
      <c r="R8" s="31">
        <f t="shared" ca="1" si="0"/>
        <v>0</v>
      </c>
      <c r="S8" s="3"/>
      <c r="T8" s="17">
        <f t="shared" si="10"/>
        <v>-31.902089341395936</v>
      </c>
      <c r="U8" s="22">
        <f t="shared" ca="1" si="8"/>
        <v>0</v>
      </c>
      <c r="V8" s="23">
        <v>0</v>
      </c>
      <c r="W8" s="6">
        <f t="shared" si="9"/>
        <v>0</v>
      </c>
      <c r="X8" s="6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</row>
    <row r="9" spans="1:49" x14ac:dyDescent="0.25">
      <c r="A9" s="3"/>
      <c r="B9" s="3"/>
      <c r="C9" s="18" t="s">
        <v>18</v>
      </c>
      <c r="D9" s="3"/>
      <c r="E9" s="3"/>
      <c r="F9" s="3"/>
      <c r="G9" s="3"/>
      <c r="H9" s="3"/>
      <c r="I9" s="3"/>
      <c r="J9" s="10">
        <v>6</v>
      </c>
      <c r="K9" s="29">
        <f t="shared" ca="1" si="1"/>
        <v>0.75875700811947755</v>
      </c>
      <c r="L9" s="30">
        <f t="shared" ca="1" si="2"/>
        <v>0.9236601436733467</v>
      </c>
      <c r="M9" s="30">
        <f t="shared" ca="1" si="3"/>
        <v>0.75875700811947755</v>
      </c>
      <c r="N9" s="30">
        <f t="shared" ca="1" si="4"/>
        <v>1.1907551865177153</v>
      </c>
      <c r="O9" s="30">
        <f t="shared" ca="1" si="5"/>
        <v>121.0309002304822</v>
      </c>
      <c r="P9" s="30">
        <f t="shared" ca="1" si="6"/>
        <v>112.74968515793758</v>
      </c>
      <c r="Q9" s="30">
        <f t="shared" ca="1" si="7"/>
        <v>8.2812150725446259</v>
      </c>
      <c r="R9" s="31">
        <f t="shared" ca="1" si="0"/>
        <v>8.2812150725446259</v>
      </c>
      <c r="S9" s="3"/>
      <c r="T9" s="17">
        <f t="shared" si="10"/>
        <v>-29.90820875755869</v>
      </c>
      <c r="U9" s="22">
        <f t="shared" ca="1" si="8"/>
        <v>0</v>
      </c>
      <c r="V9" s="23">
        <v>0</v>
      </c>
      <c r="W9" s="6">
        <f t="shared" si="9"/>
        <v>0</v>
      </c>
      <c r="X9" s="6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</row>
    <row r="10" spans="1:49" x14ac:dyDescent="0.25">
      <c r="A10" s="5">
        <v>11.950991869309007</v>
      </c>
      <c r="B10" s="5">
        <f ca="1">AVERAGE(R4:R103)</f>
        <v>4.6574968776975414</v>
      </c>
      <c r="C10" s="19">
        <v>500</v>
      </c>
      <c r="D10" s="3"/>
      <c r="E10" s="3"/>
      <c r="F10" s="3"/>
      <c r="G10" s="3"/>
      <c r="H10" s="3"/>
      <c r="I10" s="3"/>
      <c r="J10" s="10">
        <v>7</v>
      </c>
      <c r="K10" s="29">
        <f t="shared" ca="1" si="1"/>
        <v>0.78728070022372132</v>
      </c>
      <c r="L10" s="30">
        <f t="shared" ca="1" si="2"/>
        <v>-1.3109745704676186</v>
      </c>
      <c r="M10" s="30">
        <f t="shared" ca="1" si="3"/>
        <v>0.78728070022372132</v>
      </c>
      <c r="N10" s="30">
        <f t="shared" ca="1" si="4"/>
        <v>-0.38512661650681534</v>
      </c>
      <c r="O10" s="30">
        <f t="shared" ca="1" si="5"/>
        <v>121.37661786658309</v>
      </c>
      <c r="P10" s="30">
        <f t="shared" ca="1" si="6"/>
        <v>112.74968515793758</v>
      </c>
      <c r="Q10" s="30">
        <f t="shared" ca="1" si="7"/>
        <v>8.6269327086455121</v>
      </c>
      <c r="R10" s="31">
        <f t="shared" ca="1" si="0"/>
        <v>8.6269327086455121</v>
      </c>
      <c r="S10" s="3"/>
      <c r="T10" s="17">
        <f t="shared" si="10"/>
        <v>-27.914328173721444</v>
      </c>
      <c r="U10" s="22">
        <f t="shared" ca="1" si="8"/>
        <v>1</v>
      </c>
      <c r="V10" s="23">
        <v>0</v>
      </c>
      <c r="W10" s="6">
        <f t="shared" si="9"/>
        <v>0</v>
      </c>
      <c r="X10" s="6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</row>
    <row r="11" spans="1:49" x14ac:dyDescent="0.25">
      <c r="A11" s="10" t="s">
        <v>10</v>
      </c>
      <c r="B11" s="14">
        <v>11.950991869309005</v>
      </c>
      <c r="C11" s="3"/>
      <c r="D11" s="3"/>
      <c r="E11" s="3"/>
      <c r="F11" s="3"/>
      <c r="G11" s="3"/>
      <c r="H11" s="3"/>
      <c r="I11" s="3"/>
      <c r="J11" s="10">
        <v>8</v>
      </c>
      <c r="K11" s="29">
        <f t="shared" ca="1" si="1"/>
        <v>-1.311436173715131</v>
      </c>
      <c r="L11" s="30">
        <f t="shared" ca="1" si="2"/>
        <v>0.88540109326276095</v>
      </c>
      <c r="M11" s="30">
        <f t="shared" ca="1" si="3"/>
        <v>-1.311436173715131</v>
      </c>
      <c r="N11" s="30">
        <f t="shared" ca="1" si="4"/>
        <v>-0.28570246779163166</v>
      </c>
      <c r="O11" s="30">
        <f t="shared" ca="1" si="5"/>
        <v>98.398599242513882</v>
      </c>
      <c r="P11" s="30">
        <f t="shared" ca="1" si="6"/>
        <v>112.74968515793758</v>
      </c>
      <c r="Q11" s="30">
        <f t="shared" ca="1" si="7"/>
        <v>-14.351085915423695</v>
      </c>
      <c r="R11" s="31">
        <f t="shared" ca="1" si="0"/>
        <v>0</v>
      </c>
      <c r="S11" s="3"/>
      <c r="T11" s="17">
        <f t="shared" si="10"/>
        <v>-25.920447589884198</v>
      </c>
      <c r="U11" s="22">
        <f t="shared" ca="1" si="8"/>
        <v>1</v>
      </c>
      <c r="V11" s="23">
        <v>0</v>
      </c>
      <c r="W11" s="6">
        <f t="shared" si="9"/>
        <v>0</v>
      </c>
      <c r="X11" s="6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</row>
    <row r="12" spans="1:49" x14ac:dyDescent="0.25">
      <c r="A12" s="10" t="s">
        <v>12</v>
      </c>
      <c r="B12" s="16">
        <f>(B11-B8)/B8</f>
        <v>1.9969176605123424</v>
      </c>
      <c r="C12" s="3"/>
      <c r="D12" s="3"/>
      <c r="E12" s="3"/>
      <c r="F12" s="3"/>
      <c r="G12" s="3"/>
      <c r="H12" s="3"/>
      <c r="I12" s="3"/>
      <c r="J12" s="10">
        <v>9</v>
      </c>
      <c r="K12" s="29">
        <f t="shared" ca="1" si="1"/>
        <v>1.3309260413136348</v>
      </c>
      <c r="L12" s="30">
        <f t="shared" ca="1" si="2"/>
        <v>-0.48638946627193369</v>
      </c>
      <c r="M12" s="30">
        <f t="shared" ca="1" si="3"/>
        <v>1.3309260413136348</v>
      </c>
      <c r="N12" s="30">
        <f t="shared" ca="1" si="4"/>
        <v>0.58429667274172714</v>
      </c>
      <c r="O12" s="30">
        <f t="shared" ca="1" si="5"/>
        <v>128.15786061726845</v>
      </c>
      <c r="P12" s="30">
        <f t="shared" ca="1" si="6"/>
        <v>112.74968515793758</v>
      </c>
      <c r="Q12" s="30">
        <f t="shared" ca="1" si="7"/>
        <v>15.408175459330877</v>
      </c>
      <c r="R12" s="31">
        <f t="shared" ca="1" si="0"/>
        <v>15.408175459330877</v>
      </c>
      <c r="S12" s="3"/>
      <c r="T12" s="17">
        <f t="shared" si="10"/>
        <v>-23.926567006046952</v>
      </c>
      <c r="U12" s="22">
        <f t="shared" ca="1" si="8"/>
        <v>2</v>
      </c>
      <c r="V12" s="23">
        <v>0</v>
      </c>
      <c r="W12" s="6">
        <f t="shared" si="9"/>
        <v>0</v>
      </c>
      <c r="X12" s="6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</row>
    <row r="13" spans="1:49" x14ac:dyDescent="0.25">
      <c r="A13" s="3"/>
      <c r="B13" s="3"/>
      <c r="C13" s="3"/>
      <c r="D13" s="3"/>
      <c r="E13" s="3"/>
      <c r="F13" s="3"/>
      <c r="G13" s="3"/>
      <c r="H13" s="3"/>
      <c r="I13" s="3"/>
      <c r="J13" s="10">
        <v>10</v>
      </c>
      <c r="K13" s="29">
        <f t="shared" ca="1" si="1"/>
        <v>0.60691904892434212</v>
      </c>
      <c r="L13" s="30">
        <f t="shared" ca="1" si="2"/>
        <v>0.23088732207812585</v>
      </c>
      <c r="M13" s="30">
        <f t="shared" ca="1" si="3"/>
        <v>0.60691904892434212</v>
      </c>
      <c r="N13" s="30">
        <f t="shared" ca="1" si="4"/>
        <v>0.58972986281492523</v>
      </c>
      <c r="O13" s="30">
        <f t="shared" ca="1" si="5"/>
        <v>119.20707309075698</v>
      </c>
      <c r="P13" s="30">
        <f t="shared" ca="1" si="6"/>
        <v>112.74968515793758</v>
      </c>
      <c r="Q13" s="30">
        <f t="shared" ca="1" si="7"/>
        <v>6.457387932819401</v>
      </c>
      <c r="R13" s="31">
        <f t="shared" ca="1" si="0"/>
        <v>6.457387932819401</v>
      </c>
      <c r="S13" s="3"/>
      <c r="T13" s="17">
        <f t="shared" si="10"/>
        <v>-21.932686422209706</v>
      </c>
      <c r="U13" s="22">
        <f t="shared" ca="1" si="8"/>
        <v>1</v>
      </c>
      <c r="V13" s="23">
        <v>0</v>
      </c>
      <c r="W13" s="6">
        <f t="shared" si="9"/>
        <v>0</v>
      </c>
      <c r="X13" s="6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14" spans="1:49" x14ac:dyDescent="0.25">
      <c r="A14" s="47" t="s">
        <v>24</v>
      </c>
      <c r="B14" s="47"/>
      <c r="C14" s="3"/>
      <c r="D14" s="3"/>
      <c r="E14" s="3"/>
      <c r="F14" s="3"/>
      <c r="G14" s="3"/>
      <c r="H14" s="3"/>
      <c r="I14" s="3"/>
      <c r="J14" s="10">
        <v>11</v>
      </c>
      <c r="K14" s="29">
        <f t="shared" ca="1" si="1"/>
        <v>-0.86747131351786555</v>
      </c>
      <c r="L14" s="30">
        <f t="shared" ca="1" si="2"/>
        <v>1.5087345802792123</v>
      </c>
      <c r="M14" s="30">
        <f t="shared" ca="1" si="3"/>
        <v>-0.86747131351786555</v>
      </c>
      <c r="N14" s="30">
        <f t="shared" ca="1" si="4"/>
        <v>0.47022208281065725</v>
      </c>
      <c r="O14" s="30">
        <f t="shared" ca="1" si="5"/>
        <v>102.86557663298677</v>
      </c>
      <c r="P14" s="30">
        <f t="shared" ca="1" si="6"/>
        <v>112.74968515793758</v>
      </c>
      <c r="Q14" s="30">
        <f ca="1">O14-P14</f>
        <v>-9.8841085249508041</v>
      </c>
      <c r="R14" s="31">
        <f t="shared" ca="1" si="0"/>
        <v>0</v>
      </c>
      <c r="S14" s="3"/>
      <c r="T14" s="17">
        <f t="shared" si="10"/>
        <v>-19.93880583837246</v>
      </c>
      <c r="U14" s="22">
        <f t="shared" ca="1" si="8"/>
        <v>1</v>
      </c>
      <c r="V14" s="23">
        <v>3</v>
      </c>
      <c r="W14" s="6">
        <f t="shared" si="9"/>
        <v>3</v>
      </c>
      <c r="X14" s="6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</row>
    <row r="15" spans="1:49" x14ac:dyDescent="0.25">
      <c r="A15" s="10" t="s">
        <v>9</v>
      </c>
      <c r="B15" s="14" cm="1">
        <f t="array" ref="B15">IF(B4=0,BS_call(B1,B2,B3,B7,0,B6),"")</f>
        <v>11.835864539234876</v>
      </c>
      <c r="C15" s="3"/>
      <c r="D15" s="3"/>
      <c r="E15" s="3"/>
      <c r="F15" s="3"/>
      <c r="G15" s="3"/>
      <c r="H15" s="3"/>
      <c r="I15" s="3"/>
      <c r="J15" s="10">
        <v>12</v>
      </c>
      <c r="K15" s="29">
        <f t="shared" ca="1" si="1"/>
        <v>-2.837150643672528</v>
      </c>
      <c r="L15" s="30">
        <f t="shared" ca="1" si="2"/>
        <v>0.69904323894663134</v>
      </c>
      <c r="M15" s="30">
        <f t="shared" ca="1" si="3"/>
        <v>-2.837150643672528</v>
      </c>
      <c r="N15" s="30">
        <f t="shared" ca="1" si="4"/>
        <v>-1.4867887246313549</v>
      </c>
      <c r="O15" s="30">
        <f t="shared" ca="1" si="5"/>
        <v>84.474956835016485</v>
      </c>
      <c r="P15" s="30">
        <f t="shared" ca="1" si="6"/>
        <v>112.74968515793758</v>
      </c>
      <c r="Q15" s="30">
        <f t="shared" ca="1" si="7"/>
        <v>-28.274728322921092</v>
      </c>
      <c r="R15" s="31">
        <f t="shared" ca="1" si="0"/>
        <v>0</v>
      </c>
      <c r="S15" s="3"/>
      <c r="T15" s="17">
        <f t="shared" si="10"/>
        <v>-17.944925254535214</v>
      </c>
      <c r="U15" s="22">
        <f t="shared" ca="1" si="8"/>
        <v>1</v>
      </c>
      <c r="V15" s="23">
        <v>9</v>
      </c>
      <c r="W15" s="6">
        <f t="shared" si="9"/>
        <v>9</v>
      </c>
      <c r="X15" s="6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x14ac:dyDescent="0.25">
      <c r="A16" s="10" t="s">
        <v>23</v>
      </c>
      <c r="B16" s="14" cm="1">
        <f t="array" ref="B16">IF(B4=0,margrabe(B1,B2*EXP(-B7*B6),B3,B4,B5,B6),"")</f>
        <v>11.835864539234876</v>
      </c>
      <c r="C16" s="3"/>
      <c r="D16" s="3"/>
      <c r="E16" s="3"/>
      <c r="F16" s="3"/>
      <c r="G16" s="3"/>
      <c r="H16" s="3"/>
      <c r="I16" s="3"/>
      <c r="J16" s="10">
        <v>13</v>
      </c>
      <c r="K16" s="29">
        <f t="shared" ca="1" si="1"/>
        <v>-8.7256954316102059E-2</v>
      </c>
      <c r="L16" s="30">
        <f t="shared" ca="1" si="2"/>
        <v>-0.31153202426978438</v>
      </c>
      <c r="M16" s="30">
        <f t="shared" ca="1" si="3"/>
        <v>-8.7256954316102059E-2</v>
      </c>
      <c r="N16" s="30">
        <f t="shared" ca="1" si="4"/>
        <v>-0.28355823347344533</v>
      </c>
      <c r="O16" s="30">
        <f t="shared" ca="1" si="5"/>
        <v>111.21268961587218</v>
      </c>
      <c r="P16" s="30">
        <f t="shared" ca="1" si="6"/>
        <v>112.74968515793758</v>
      </c>
      <c r="Q16" s="30">
        <f t="shared" ca="1" si="7"/>
        <v>-1.536995542065398</v>
      </c>
      <c r="R16" s="31">
        <f t="shared" ca="1" si="0"/>
        <v>0</v>
      </c>
      <c r="S16" s="3"/>
      <c r="T16" s="17">
        <f t="shared" si="10"/>
        <v>-15.951044670697968</v>
      </c>
      <c r="U16" s="22">
        <f t="shared" ca="1" si="8"/>
        <v>1</v>
      </c>
      <c r="V16" s="23">
        <v>9</v>
      </c>
      <c r="W16" s="6">
        <f t="shared" si="9"/>
        <v>9</v>
      </c>
      <c r="X16" s="6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x14ac:dyDescent="0.25">
      <c r="A17" s="10" t="s">
        <v>12</v>
      </c>
      <c r="B17" s="16">
        <f>IF(B4=0,(B15-B16)/B16,"")</f>
        <v>0</v>
      </c>
      <c r="C17" s="3"/>
      <c r="D17" s="3"/>
      <c r="E17" s="3"/>
      <c r="F17" s="3"/>
      <c r="G17" s="3"/>
      <c r="H17" s="3"/>
      <c r="I17" s="3"/>
      <c r="J17" s="10">
        <v>14</v>
      </c>
      <c r="K17" s="29">
        <f t="shared" ca="1" si="1"/>
        <v>-0.65335342681037711</v>
      </c>
      <c r="L17" s="30">
        <f t="shared" ca="1" si="2"/>
        <v>-1.045551934960087</v>
      </c>
      <c r="M17" s="30">
        <f t="shared" ca="1" si="3"/>
        <v>-0.65335342681037711</v>
      </c>
      <c r="N17" s="30">
        <f t="shared" ca="1" si="4"/>
        <v>-1.204020829951459</v>
      </c>
      <c r="O17" s="30">
        <f t="shared" ca="1" si="5"/>
        <v>105.0918619411656</v>
      </c>
      <c r="P17" s="30">
        <f t="shared" ca="1" si="6"/>
        <v>112.74968515793758</v>
      </c>
      <c r="Q17" s="30">
        <f t="shared" ca="1" si="7"/>
        <v>-7.6578232167719733</v>
      </c>
      <c r="R17" s="31">
        <f t="shared" ca="1" si="0"/>
        <v>0</v>
      </c>
      <c r="S17" s="3"/>
      <c r="T17" s="17">
        <f t="shared" si="10"/>
        <v>-13.957164086860722</v>
      </c>
      <c r="U17" s="22">
        <f t="shared" ca="1" si="8"/>
        <v>4</v>
      </c>
      <c r="V17" s="23">
        <v>16</v>
      </c>
      <c r="W17" s="6">
        <f t="shared" si="9"/>
        <v>16</v>
      </c>
      <c r="X17" s="6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x14ac:dyDescent="0.25">
      <c r="A18" s="3"/>
      <c r="B18" s="3"/>
      <c r="C18" s="3"/>
      <c r="D18" s="3"/>
      <c r="E18" s="3"/>
      <c r="F18" s="3"/>
      <c r="G18" s="3"/>
      <c r="H18" s="3"/>
      <c r="I18" s="3"/>
      <c r="J18" s="10">
        <v>15</v>
      </c>
      <c r="K18" s="29">
        <f t="shared" ca="1" si="1"/>
        <v>-0.56898566970481257</v>
      </c>
      <c r="L18" s="30">
        <f t="shared" ca="1" si="2"/>
        <v>0.43115098551954767</v>
      </c>
      <c r="M18" s="30">
        <f t="shared" ca="1" si="3"/>
        <v>-0.56898566970481257</v>
      </c>
      <c r="N18" s="30">
        <f t="shared" ca="1" si="4"/>
        <v>-9.0386578295012343E-2</v>
      </c>
      <c r="O18" s="30">
        <f ca="1">$B$1*EXP(($B$7-$B$3*$B$3/2)*$B$6+$B$3*M18*SQRT($B$6))</f>
        <v>105.98224912644365</v>
      </c>
      <c r="P18" s="30">
        <f t="shared" ca="1" si="6"/>
        <v>112.74968515793758</v>
      </c>
      <c r="Q18" s="30">
        <f t="shared" ca="1" si="7"/>
        <v>-6.7674360314939292</v>
      </c>
      <c r="R18" s="31">
        <f t="shared" ca="1" si="0"/>
        <v>0</v>
      </c>
      <c r="S18" s="3"/>
      <c r="T18" s="17">
        <f t="shared" si="10"/>
        <v>-11.963283503023476</v>
      </c>
      <c r="U18" s="22">
        <f t="shared" ca="1" si="8"/>
        <v>2</v>
      </c>
      <c r="V18" s="23">
        <v>22</v>
      </c>
      <c r="W18" s="6">
        <f t="shared" si="9"/>
        <v>22</v>
      </c>
      <c r="X18" s="6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x14ac:dyDescent="0.25">
      <c r="A19" s="3"/>
      <c r="B19" s="3"/>
      <c r="C19" s="3"/>
      <c r="D19" s="3"/>
      <c r="E19" s="3"/>
      <c r="F19" s="3"/>
      <c r="G19" s="3"/>
      <c r="H19" s="3"/>
      <c r="I19" s="3"/>
      <c r="J19" s="10">
        <v>16</v>
      </c>
      <c r="K19" s="29">
        <f t="shared" ca="1" si="1"/>
        <v>-0.2910619637030778</v>
      </c>
      <c r="L19" s="30">
        <f t="shared" ca="1" si="2"/>
        <v>-1.2556391609827164</v>
      </c>
      <c r="M19" s="30">
        <f t="shared" ca="1" si="3"/>
        <v>-0.2910619637030778</v>
      </c>
      <c r="N19" s="30">
        <f t="shared" ca="1" si="4"/>
        <v>-1.1004490946155208</v>
      </c>
      <c r="O19" s="30">
        <f t="shared" ca="1" si="5"/>
        <v>108.96906009737441</v>
      </c>
      <c r="P19" s="30">
        <f t="shared" ca="1" si="6"/>
        <v>112.74968515793758</v>
      </c>
      <c r="Q19" s="30">
        <f t="shared" ca="1" si="7"/>
        <v>-3.7806250605631675</v>
      </c>
      <c r="R19" s="31">
        <f t="shared" ca="1" si="0"/>
        <v>0</v>
      </c>
      <c r="S19" s="3"/>
      <c r="T19" s="17">
        <f t="shared" si="10"/>
        <v>-9.9694029191862299</v>
      </c>
      <c r="U19" s="22">
        <f t="shared" ca="1" si="8"/>
        <v>5</v>
      </c>
      <c r="V19" s="23">
        <v>29</v>
      </c>
      <c r="W19" s="6">
        <f t="shared" si="9"/>
        <v>29</v>
      </c>
      <c r="X19" s="6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x14ac:dyDescent="0.25">
      <c r="A20" s="3"/>
      <c r="B20" s="3"/>
      <c r="C20" s="3"/>
      <c r="D20" s="3"/>
      <c r="E20" s="3"/>
      <c r="F20" s="3"/>
      <c r="G20" s="3"/>
      <c r="H20" s="3"/>
      <c r="I20" s="3"/>
      <c r="J20" s="10">
        <v>17</v>
      </c>
      <c r="K20" s="29">
        <f t="shared" ca="1" si="1"/>
        <v>1.4854634864597771</v>
      </c>
      <c r="L20" s="30">
        <f t="shared" ca="1" si="2"/>
        <v>-0.34986429940880204</v>
      </c>
      <c r="M20" s="30">
        <f t="shared" ca="1" si="3"/>
        <v>1.4854634864597771</v>
      </c>
      <c r="N20" s="30">
        <f t="shared" ca="1" si="4"/>
        <v>0.78997135512881933</v>
      </c>
      <c r="O20" s="30">
        <f t="shared" ca="1" si="5"/>
        <v>130.15376180499715</v>
      </c>
      <c r="P20" s="30">
        <f t="shared" ca="1" si="6"/>
        <v>112.74968515793758</v>
      </c>
      <c r="Q20" s="30">
        <f t="shared" ca="1" si="7"/>
        <v>17.404076647059568</v>
      </c>
      <c r="R20" s="31">
        <f t="shared" ca="1" si="0"/>
        <v>17.404076647059568</v>
      </c>
      <c r="S20" s="3"/>
      <c r="T20" s="17">
        <f t="shared" si="10"/>
        <v>-7.9755223353489839</v>
      </c>
      <c r="U20" s="22">
        <f t="shared" ca="1" si="8"/>
        <v>4</v>
      </c>
      <c r="V20" s="23">
        <v>29</v>
      </c>
      <c r="W20" s="6">
        <f t="shared" si="9"/>
        <v>29</v>
      </c>
      <c r="X20" s="6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x14ac:dyDescent="0.25">
      <c r="A21" s="3"/>
      <c r="B21" s="3"/>
      <c r="C21" s="3"/>
      <c r="D21" s="3"/>
      <c r="E21" s="3"/>
      <c r="F21" s="3"/>
      <c r="G21" s="3"/>
      <c r="H21" s="3"/>
      <c r="I21" s="3"/>
      <c r="J21" s="10">
        <v>18</v>
      </c>
      <c r="K21" s="29">
        <f t="shared" ca="1" si="1"/>
        <v>7.444854385127099E-2</v>
      </c>
      <c r="L21" s="30">
        <f t="shared" ca="1" si="2"/>
        <v>0.15885739453540645</v>
      </c>
      <c r="M21" s="30">
        <f t="shared" ca="1" si="3"/>
        <v>7.444854385127099E-2</v>
      </c>
      <c r="N21" s="30">
        <f t="shared" ca="1" si="4"/>
        <v>0.16556085203782961</v>
      </c>
      <c r="O21" s="30">
        <f t="shared" ca="1" si="5"/>
        <v>113.02567896497726</v>
      </c>
      <c r="P21" s="30">
        <f t="shared" ca="1" si="6"/>
        <v>112.74968515793758</v>
      </c>
      <c r="Q21" s="30">
        <f t="shared" ca="1" si="7"/>
        <v>0.27599380703968279</v>
      </c>
      <c r="R21" s="31">
        <f t="shared" ca="1" si="0"/>
        <v>0.27599380703968279</v>
      </c>
      <c r="S21" s="3"/>
      <c r="T21" s="17">
        <f t="shared" si="10"/>
        <v>-5.9816417515117379</v>
      </c>
      <c r="U21" s="22">
        <f t="shared" ca="1" si="8"/>
        <v>8</v>
      </c>
      <c r="V21" s="23">
        <v>40</v>
      </c>
      <c r="W21" s="6">
        <f t="shared" si="9"/>
        <v>40</v>
      </c>
      <c r="X21" s="6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x14ac:dyDescent="0.25">
      <c r="A22" s="3"/>
      <c r="B22" s="3"/>
      <c r="C22" s="3"/>
      <c r="D22" s="3"/>
      <c r="E22" s="3"/>
      <c r="F22" s="3"/>
      <c r="G22" s="3"/>
      <c r="H22" s="3"/>
      <c r="I22" s="3"/>
      <c r="J22" s="10">
        <v>19</v>
      </c>
      <c r="K22" s="29">
        <f t="shared" ca="1" si="1"/>
        <v>0.31355262013553137</v>
      </c>
      <c r="L22" s="30">
        <f t="shared" ca="1" si="2"/>
        <v>1.4088795338172251</v>
      </c>
      <c r="M22" s="30">
        <f t="shared" ca="1" si="3"/>
        <v>0.31355262013553137</v>
      </c>
      <c r="N22" s="30">
        <f t="shared" ca="1" si="4"/>
        <v>1.2256280696143247</v>
      </c>
      <c r="O22" s="30">
        <f t="shared" ca="1" si="5"/>
        <v>115.76073689327886</v>
      </c>
      <c r="P22" s="30">
        <f t="shared" ca="1" si="6"/>
        <v>112.74968515793758</v>
      </c>
      <c r="Q22" s="30">
        <f t="shared" ca="1" si="7"/>
        <v>3.0110517353412831</v>
      </c>
      <c r="R22" s="31">
        <f t="shared" ca="1" si="0"/>
        <v>3.0110517353412831</v>
      </c>
      <c r="S22" s="3"/>
      <c r="T22" s="17">
        <f t="shared" si="10"/>
        <v>-3.987761167674492</v>
      </c>
      <c r="U22" s="22">
        <f t="shared" ca="1" si="8"/>
        <v>9</v>
      </c>
      <c r="V22" s="23">
        <v>33</v>
      </c>
      <c r="W22" s="6">
        <f t="shared" si="9"/>
        <v>33</v>
      </c>
      <c r="X22" s="6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</row>
    <row r="23" spans="1:49" x14ac:dyDescent="0.25">
      <c r="A23" s="3"/>
      <c r="B23" s="3"/>
      <c r="C23" s="3"/>
      <c r="D23" s="3"/>
      <c r="E23" s="3"/>
      <c r="F23" s="3"/>
      <c r="G23" s="3"/>
      <c r="H23" s="3"/>
      <c r="I23" s="3"/>
      <c r="J23" s="10">
        <v>20</v>
      </c>
      <c r="K23" s="29">
        <f t="shared" ca="1" si="1"/>
        <v>0.17639202909606252</v>
      </c>
      <c r="L23" s="30">
        <f t="shared" ca="1" si="2"/>
        <v>0.10603009375149107</v>
      </c>
      <c r="M23" s="30">
        <f t="shared" ca="1" si="3"/>
        <v>0.17639202909606252</v>
      </c>
      <c r="N23" s="30">
        <f t="shared" ca="1" si="4"/>
        <v>0.19919505294703996</v>
      </c>
      <c r="O23" s="30">
        <f t="shared" ca="1" si="5"/>
        <v>114.18379521919879</v>
      </c>
      <c r="P23" s="30">
        <f t="shared" ca="1" si="6"/>
        <v>112.74968515793758</v>
      </c>
      <c r="Q23" s="30">
        <f t="shared" ca="1" si="7"/>
        <v>1.4341100612612081</v>
      </c>
      <c r="R23" s="31">
        <f t="shared" ca="1" si="0"/>
        <v>1.4341100612612081</v>
      </c>
      <c r="S23" s="3"/>
      <c r="T23" s="17">
        <f t="shared" si="10"/>
        <v>-1.993880583837246</v>
      </c>
      <c r="U23" s="22">
        <f t="shared" ca="1" si="8"/>
        <v>6</v>
      </c>
      <c r="V23" s="23">
        <v>43</v>
      </c>
      <c r="W23" s="6">
        <f t="shared" si="9"/>
        <v>43</v>
      </c>
      <c r="X23" s="6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</row>
    <row r="24" spans="1:49" x14ac:dyDescent="0.25">
      <c r="A24" s="3"/>
      <c r="B24" s="3"/>
      <c r="C24" s="3"/>
      <c r="D24" s="3"/>
      <c r="E24" s="3"/>
      <c r="F24" s="3"/>
      <c r="G24" s="3"/>
      <c r="H24" s="3"/>
      <c r="I24" s="3"/>
      <c r="J24" s="10">
        <v>21</v>
      </c>
      <c r="K24" s="29">
        <f t="shared" ca="1" si="1"/>
        <v>-0.21224764804208479</v>
      </c>
      <c r="L24" s="30">
        <f t="shared" ca="1" si="2"/>
        <v>-1.0392392738194818</v>
      </c>
      <c r="M24" s="30">
        <f t="shared" ca="1" si="3"/>
        <v>-0.21224764804208479</v>
      </c>
      <c r="N24" s="30">
        <f t="shared" ca="1" si="4"/>
        <v>-0.8907386430407267</v>
      </c>
      <c r="O24" s="30">
        <f t="shared" ca="1" si="5"/>
        <v>109.83128560980818</v>
      </c>
      <c r="P24" s="30">
        <f t="shared" ca="1" si="6"/>
        <v>112.74968515793758</v>
      </c>
      <c r="Q24" s="30">
        <f t="shared" ca="1" si="7"/>
        <v>-2.9183995481294005</v>
      </c>
      <c r="R24" s="31">
        <f t="shared" ca="1" si="0"/>
        <v>0</v>
      </c>
      <c r="S24" s="3"/>
      <c r="T24" s="17">
        <f t="shared" si="10"/>
        <v>0</v>
      </c>
      <c r="U24" s="22">
        <f t="shared" ca="1" si="8"/>
        <v>8</v>
      </c>
      <c r="V24" s="23">
        <v>45</v>
      </c>
      <c r="W24" s="5">
        <f>V24</f>
        <v>45</v>
      </c>
      <c r="X24" s="6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</row>
    <row r="25" spans="1:49" x14ac:dyDescent="0.25">
      <c r="A25" s="3"/>
      <c r="B25" s="3"/>
      <c r="C25" s="3"/>
      <c r="D25" s="3"/>
      <c r="E25" s="3"/>
      <c r="F25" s="3"/>
      <c r="G25" s="3"/>
      <c r="H25" s="3"/>
      <c r="I25" s="3"/>
      <c r="J25" s="10">
        <v>22</v>
      </c>
      <c r="K25" s="29">
        <f t="shared" ca="1" si="1"/>
        <v>-0.67624009479788894</v>
      </c>
      <c r="L25" s="30">
        <f t="shared" ca="1" si="2"/>
        <v>-0.84217226802782208</v>
      </c>
      <c r="M25" s="30">
        <f t="shared" ca="1" si="3"/>
        <v>-0.67624009479788894</v>
      </c>
      <c r="N25" s="30">
        <f t="shared" ca="1" si="4"/>
        <v>-1.0747993640209521</v>
      </c>
      <c r="O25" s="30">
        <f t="shared" ca="1" si="5"/>
        <v>104.85161671142929</v>
      </c>
      <c r="P25" s="30">
        <f t="shared" ca="1" si="6"/>
        <v>112.74968515793758</v>
      </c>
      <c r="Q25" s="30">
        <f t="shared" ca="1" si="7"/>
        <v>-7.8980684465082902</v>
      </c>
      <c r="R25" s="31">
        <f t="shared" ca="1" si="0"/>
        <v>0</v>
      </c>
      <c r="S25" s="3"/>
      <c r="T25" s="17">
        <f t="shared" si="10"/>
        <v>1.993880583837246</v>
      </c>
      <c r="U25" s="22">
        <f t="shared" ca="1" si="8"/>
        <v>7</v>
      </c>
      <c r="V25" s="23">
        <v>32</v>
      </c>
      <c r="W25" s="6"/>
      <c r="X25" s="6">
        <f>V25</f>
        <v>32</v>
      </c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</row>
    <row r="26" spans="1:49" x14ac:dyDescent="0.25">
      <c r="A26" s="3"/>
      <c r="B26" s="3"/>
      <c r="C26" s="3"/>
      <c r="D26" s="3"/>
      <c r="E26" s="3"/>
      <c r="F26" s="3"/>
      <c r="G26" s="3"/>
      <c r="H26" s="3"/>
      <c r="I26" s="3"/>
      <c r="J26" s="10">
        <v>23</v>
      </c>
      <c r="K26" s="29">
        <f t="shared" ca="1" si="1"/>
        <v>0.207349313048388</v>
      </c>
      <c r="L26" s="30">
        <f t="shared" ca="1" si="2"/>
        <v>-0.90106865424988314</v>
      </c>
      <c r="M26" s="30">
        <f t="shared" ca="1" si="3"/>
        <v>0.207349313048388</v>
      </c>
      <c r="N26" s="30">
        <f t="shared" ca="1" si="4"/>
        <v>-0.4983472112190247</v>
      </c>
      <c r="O26" s="30">
        <f t="shared" ca="1" si="5"/>
        <v>114.53782494353153</v>
      </c>
      <c r="P26" s="30">
        <f t="shared" ca="1" si="6"/>
        <v>112.74968515793758</v>
      </c>
      <c r="Q26" s="30">
        <f t="shared" ca="1" si="7"/>
        <v>1.7881397855939554</v>
      </c>
      <c r="R26" s="31">
        <f t="shared" ca="1" si="0"/>
        <v>1.7881397855939554</v>
      </c>
      <c r="S26" s="3"/>
      <c r="T26" s="17">
        <f t="shared" si="10"/>
        <v>3.987761167674492</v>
      </c>
      <c r="U26" s="22">
        <f t="shared" ca="1" si="8"/>
        <v>4</v>
      </c>
      <c r="V26" s="23">
        <v>28</v>
      </c>
      <c r="W26" s="6"/>
      <c r="X26" s="6">
        <f t="shared" ref="X26:X44" si="11">V26</f>
        <v>28</v>
      </c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</row>
    <row r="27" spans="1:49" x14ac:dyDescent="0.25">
      <c r="A27" s="3"/>
      <c r="B27" s="3"/>
      <c r="C27" s="3"/>
      <c r="D27" s="3"/>
      <c r="E27" s="3"/>
      <c r="F27" s="3"/>
      <c r="G27" s="3"/>
      <c r="H27" s="3"/>
      <c r="I27" s="3"/>
      <c r="J27" s="10">
        <v>24</v>
      </c>
      <c r="K27" s="29">
        <f t="shared" ca="1" si="1"/>
        <v>1.5220852135936727</v>
      </c>
      <c r="L27" s="30">
        <f t="shared" ca="1" si="2"/>
        <v>-0.73017652429214985</v>
      </c>
      <c r="M27" s="30">
        <f t="shared" ca="1" si="3"/>
        <v>1.5220852135936727</v>
      </c>
      <c r="N27" s="30">
        <f t="shared" ca="1" si="4"/>
        <v>0.544009310672114</v>
      </c>
      <c r="O27" s="30">
        <f t="shared" ca="1" si="5"/>
        <v>130.63128120559605</v>
      </c>
      <c r="P27" s="30">
        <f t="shared" ca="1" si="6"/>
        <v>112.74968515793758</v>
      </c>
      <c r="Q27" s="30">
        <f t="shared" ca="1" si="7"/>
        <v>17.881596047658476</v>
      </c>
      <c r="R27" s="31">
        <f t="shared" ca="1" si="0"/>
        <v>17.881596047658476</v>
      </c>
      <c r="S27" s="3"/>
      <c r="T27" s="17">
        <f t="shared" si="10"/>
        <v>5.9816417515117379</v>
      </c>
      <c r="U27" s="22">
        <f t="shared" ca="1" si="8"/>
        <v>2</v>
      </c>
      <c r="V27" s="23">
        <v>30</v>
      </c>
      <c r="W27" s="6"/>
      <c r="X27" s="6">
        <f t="shared" si="11"/>
        <v>30</v>
      </c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</row>
    <row r="28" spans="1:49" x14ac:dyDescent="0.25">
      <c r="A28" s="3"/>
      <c r="B28" s="3"/>
      <c r="C28" s="3"/>
      <c r="D28" s="3"/>
      <c r="E28" s="3"/>
      <c r="F28" s="3"/>
      <c r="G28" s="3"/>
      <c r="H28" s="3"/>
      <c r="I28" s="3"/>
      <c r="J28" s="10">
        <v>25</v>
      </c>
      <c r="K28" s="29">
        <f t="shared" ca="1" si="1"/>
        <v>0.19822780067230628</v>
      </c>
      <c r="L28" s="30">
        <f t="shared" ca="1" si="2"/>
        <v>-0.68018242143569319</v>
      </c>
      <c r="M28" s="30">
        <f t="shared" ca="1" si="3"/>
        <v>0.19822780067230628</v>
      </c>
      <c r="N28" s="30">
        <f t="shared" ca="1" si="4"/>
        <v>-0.34698794763298291</v>
      </c>
      <c r="O28" s="30">
        <f t="shared" ca="1" si="5"/>
        <v>114.43339675914568</v>
      </c>
      <c r="P28" s="30">
        <f t="shared" ca="1" si="6"/>
        <v>112.74968515793758</v>
      </c>
      <c r="Q28" s="30">
        <f t="shared" ca="1" si="7"/>
        <v>1.6837116012081026</v>
      </c>
      <c r="R28" s="31">
        <f t="shared" ca="1" si="0"/>
        <v>1.6837116012081026</v>
      </c>
      <c r="S28" s="3"/>
      <c r="T28" s="17">
        <f t="shared" si="10"/>
        <v>7.9755223353489839</v>
      </c>
      <c r="U28" s="22">
        <f t="shared" ca="1" si="8"/>
        <v>8</v>
      </c>
      <c r="V28" s="23">
        <v>26</v>
      </c>
      <c r="W28" s="6"/>
      <c r="X28" s="6">
        <f t="shared" si="11"/>
        <v>26</v>
      </c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</row>
    <row r="29" spans="1:49" x14ac:dyDescent="0.25">
      <c r="A29" s="3"/>
      <c r="B29" s="3"/>
      <c r="C29" s="3"/>
      <c r="D29" s="3"/>
      <c r="E29" s="3"/>
      <c r="F29" s="3"/>
      <c r="G29" s="3"/>
      <c r="H29" s="3"/>
      <c r="I29" s="3"/>
      <c r="J29" s="10">
        <v>26</v>
      </c>
      <c r="K29" s="29">
        <f t="shared" ca="1" si="1"/>
        <v>-1.0350897215658734</v>
      </c>
      <c r="L29" s="30">
        <f t="shared" ca="1" si="2"/>
        <v>0.98410189229739153</v>
      </c>
      <c r="M29" s="30">
        <f t="shared" ca="1" si="3"/>
        <v>-1.0350897215658734</v>
      </c>
      <c r="N29" s="30">
        <f t="shared" ca="1" si="4"/>
        <v>-2.1773482072570793E-2</v>
      </c>
      <c r="O29" s="30">
        <f t="shared" ca="1" si="5"/>
        <v>101.15573033183611</v>
      </c>
      <c r="P29" s="30">
        <f t="shared" ca="1" si="6"/>
        <v>112.74968515793758</v>
      </c>
      <c r="Q29" s="30">
        <f t="shared" ca="1" si="7"/>
        <v>-11.593954826101466</v>
      </c>
      <c r="R29" s="31">
        <f t="shared" ca="1" si="0"/>
        <v>0</v>
      </c>
      <c r="S29" s="3"/>
      <c r="T29" s="17">
        <f t="shared" si="10"/>
        <v>9.9694029191862299</v>
      </c>
      <c r="U29" s="22">
        <f t="shared" ca="1" si="8"/>
        <v>4</v>
      </c>
      <c r="V29" s="23">
        <v>18</v>
      </c>
      <c r="W29" s="6"/>
      <c r="X29" s="6">
        <f t="shared" si="11"/>
        <v>18</v>
      </c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</row>
    <row r="30" spans="1:49" x14ac:dyDescent="0.25">
      <c r="A30" s="3"/>
      <c r="B30" s="3"/>
      <c r="C30" s="3"/>
      <c r="D30" s="3"/>
      <c r="E30" s="3"/>
      <c r="F30" s="3"/>
      <c r="G30" s="3"/>
      <c r="H30" s="3"/>
      <c r="I30" s="3"/>
      <c r="J30" s="10">
        <v>27</v>
      </c>
      <c r="K30" s="29">
        <f t="shared" ca="1" si="1"/>
        <v>-0.49363017799547049</v>
      </c>
      <c r="L30" s="30">
        <f t="shared" ca="1" si="2"/>
        <v>0.77593692660203117</v>
      </c>
      <c r="M30" s="30">
        <f t="shared" ca="1" si="3"/>
        <v>-0.49363017799547049</v>
      </c>
      <c r="N30" s="30">
        <f t="shared" ca="1" si="4"/>
        <v>0.20858867804236186</v>
      </c>
      <c r="O30" s="30">
        <f t="shared" ca="1" si="5"/>
        <v>106.78390022316793</v>
      </c>
      <c r="P30" s="30">
        <f t="shared" ca="1" si="6"/>
        <v>112.74968515793758</v>
      </c>
      <c r="Q30" s="30">
        <f t="shared" ca="1" si="7"/>
        <v>-5.9657849347696441</v>
      </c>
      <c r="R30" s="31">
        <f t="shared" ca="1" si="0"/>
        <v>0</v>
      </c>
      <c r="S30" s="3"/>
      <c r="T30" s="17">
        <f t="shared" si="10"/>
        <v>11.963283503023476</v>
      </c>
      <c r="U30" s="22">
        <f t="shared" ca="1" si="8"/>
        <v>4</v>
      </c>
      <c r="V30" s="23">
        <v>12</v>
      </c>
      <c r="W30" s="6"/>
      <c r="X30" s="6">
        <f t="shared" si="11"/>
        <v>12</v>
      </c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</row>
    <row r="31" spans="1:49" x14ac:dyDescent="0.25">
      <c r="A31" s="3"/>
      <c r="B31" s="3"/>
      <c r="C31" s="3"/>
      <c r="D31" s="3"/>
      <c r="E31" s="3"/>
      <c r="F31" s="3"/>
      <c r="G31" s="3"/>
      <c r="H31" s="3"/>
      <c r="I31" s="3"/>
      <c r="J31" s="10">
        <v>28</v>
      </c>
      <c r="K31" s="29">
        <f t="shared" ca="1" si="1"/>
        <v>0.25045535587924456</v>
      </c>
      <c r="L31" s="30">
        <f t="shared" ca="1" si="2"/>
        <v>1.3636625670729485</v>
      </c>
      <c r="M31" s="30">
        <f t="shared" ca="1" si="3"/>
        <v>0.25045535587924456</v>
      </c>
      <c r="N31" s="30">
        <f t="shared" ca="1" si="4"/>
        <v>1.1491686114589186</v>
      </c>
      <c r="O31" s="30">
        <f t="shared" ca="1" si="5"/>
        <v>115.03261784434909</v>
      </c>
      <c r="P31" s="30">
        <f t="shared" ca="1" si="6"/>
        <v>112.74968515793758</v>
      </c>
      <c r="Q31" s="30">
        <f t="shared" ca="1" si="7"/>
        <v>2.2829326864115131</v>
      </c>
      <c r="R31" s="31">
        <f t="shared" ca="1" si="0"/>
        <v>2.2829326864115131</v>
      </c>
      <c r="S31" s="3"/>
      <c r="T31" s="17">
        <f t="shared" si="10"/>
        <v>13.957164086860722</v>
      </c>
      <c r="U31" s="22">
        <f t="shared" ca="1" si="8"/>
        <v>2</v>
      </c>
      <c r="V31" s="23">
        <v>18</v>
      </c>
      <c r="W31" s="6"/>
      <c r="X31" s="6">
        <f t="shared" si="11"/>
        <v>18</v>
      </c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</row>
    <row r="32" spans="1:49" x14ac:dyDescent="0.25">
      <c r="A32" s="3"/>
      <c r="B32" s="3"/>
      <c r="C32" s="3"/>
      <c r="D32" s="3"/>
      <c r="E32" s="3"/>
      <c r="F32" s="3"/>
      <c r="G32" s="3"/>
      <c r="H32" s="3"/>
      <c r="I32" s="3"/>
      <c r="J32" s="10">
        <v>29</v>
      </c>
      <c r="K32" s="29">
        <f t="shared" ca="1" si="1"/>
        <v>1.7591666103322112</v>
      </c>
      <c r="L32" s="30">
        <f t="shared" ca="1" si="2"/>
        <v>0.17277111203124415</v>
      </c>
      <c r="M32" s="30">
        <f t="shared" ca="1" si="3"/>
        <v>1.7591666103322112</v>
      </c>
      <c r="N32" s="30">
        <f t="shared" ca="1" si="4"/>
        <v>1.3547998803416366</v>
      </c>
      <c r="O32" s="30">
        <f t="shared" ca="1" si="5"/>
        <v>133.76531006773303</v>
      </c>
      <c r="P32" s="30">
        <f t="shared" ca="1" si="6"/>
        <v>112.74968515793758</v>
      </c>
      <c r="Q32" s="30">
        <f t="shared" ca="1" si="7"/>
        <v>21.015624909795449</v>
      </c>
      <c r="R32" s="31">
        <f t="shared" ca="1" si="0"/>
        <v>21.015624909795449</v>
      </c>
      <c r="S32" s="3"/>
      <c r="T32" s="17">
        <f t="shared" si="10"/>
        <v>15.951044670697968</v>
      </c>
      <c r="U32" s="22">
        <f t="shared" ca="1" si="8"/>
        <v>5</v>
      </c>
      <c r="V32" s="23">
        <v>9</v>
      </c>
      <c r="W32" s="6"/>
      <c r="X32" s="6">
        <f t="shared" si="11"/>
        <v>9</v>
      </c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</row>
    <row r="33" spans="1:49" x14ac:dyDescent="0.25">
      <c r="A33" s="3"/>
      <c r="B33" s="3"/>
      <c r="C33" s="3"/>
      <c r="D33" s="3"/>
      <c r="E33" s="3"/>
      <c r="F33" s="3"/>
      <c r="G33" s="3"/>
      <c r="H33" s="3"/>
      <c r="I33" s="3"/>
      <c r="J33" s="10">
        <v>30</v>
      </c>
      <c r="K33" s="29">
        <f t="shared" ca="1" si="1"/>
        <v>-0.29529596172975958</v>
      </c>
      <c r="L33" s="30">
        <f t="shared" ca="1" si="2"/>
        <v>-0.11793312642188102</v>
      </c>
      <c r="M33" s="30">
        <f t="shared" ca="1" si="3"/>
        <v>-0.29529596172975958</v>
      </c>
      <c r="N33" s="30">
        <f t="shared" ca="1" si="4"/>
        <v>-0.29092827138044763</v>
      </c>
      <c r="O33" s="30">
        <f t="shared" ca="1" si="5"/>
        <v>108.92293238475357</v>
      </c>
      <c r="P33" s="30">
        <f t="shared" ca="1" si="6"/>
        <v>112.74968515793758</v>
      </c>
      <c r="Q33" s="30">
        <f t="shared" ca="1" si="7"/>
        <v>-3.8267527731840119</v>
      </c>
      <c r="R33" s="31">
        <f t="shared" ca="1" si="0"/>
        <v>0</v>
      </c>
      <c r="S33" s="3"/>
      <c r="T33" s="17">
        <f t="shared" si="10"/>
        <v>17.944925254535214</v>
      </c>
      <c r="U33" s="22">
        <f t="shared" ca="1" si="8"/>
        <v>4</v>
      </c>
      <c r="V33" s="23">
        <v>11</v>
      </c>
      <c r="W33" s="6"/>
      <c r="X33" s="6">
        <f t="shared" si="11"/>
        <v>11</v>
      </c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</row>
    <row r="34" spans="1:49" x14ac:dyDescent="0.25">
      <c r="A34" s="3"/>
      <c r="B34" s="3"/>
      <c r="C34" s="3"/>
      <c r="D34" s="3"/>
      <c r="E34" s="3"/>
      <c r="F34" s="3"/>
      <c r="G34" s="3"/>
      <c r="H34" s="3"/>
      <c r="I34" s="3"/>
      <c r="J34" s="10">
        <v>31</v>
      </c>
      <c r="K34" s="29">
        <f t="shared" ca="1" si="1"/>
        <v>-0.57111367359195198</v>
      </c>
      <c r="L34" s="30">
        <f t="shared" ca="1" si="2"/>
        <v>-2.2796935166001187</v>
      </c>
      <c r="M34" s="30">
        <f t="shared" ca="1" si="3"/>
        <v>-0.57111367359195198</v>
      </c>
      <c r="N34" s="30">
        <f t="shared" ca="1" si="4"/>
        <v>-2.0278063802956572</v>
      </c>
      <c r="O34" s="30">
        <f t="shared" ca="1" si="5"/>
        <v>105.95969846211293</v>
      </c>
      <c r="P34" s="30">
        <f t="shared" ca="1" si="6"/>
        <v>112.74968515793758</v>
      </c>
      <c r="Q34" s="30">
        <f t="shared" ca="1" si="7"/>
        <v>-6.789986695824652</v>
      </c>
      <c r="R34" s="31">
        <f t="shared" ca="1" si="0"/>
        <v>0</v>
      </c>
      <c r="S34" s="3"/>
      <c r="T34" s="17">
        <f t="shared" si="10"/>
        <v>19.93880583837246</v>
      </c>
      <c r="U34" s="22">
        <f t="shared" ca="1" si="8"/>
        <v>1</v>
      </c>
      <c r="V34" s="23">
        <v>10</v>
      </c>
      <c r="W34" s="6"/>
      <c r="X34" s="6">
        <f t="shared" si="11"/>
        <v>10</v>
      </c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</row>
    <row r="35" spans="1:49" x14ac:dyDescent="0.25">
      <c r="A35" s="3"/>
      <c r="B35" s="3"/>
      <c r="C35" s="3"/>
      <c r="D35" s="3"/>
      <c r="E35" s="3"/>
      <c r="F35" s="3"/>
      <c r="G35" s="3"/>
      <c r="H35" s="3"/>
      <c r="I35" s="3"/>
      <c r="J35" s="10">
        <v>32</v>
      </c>
      <c r="K35" s="29">
        <f t="shared" ca="1" si="1"/>
        <v>-0.9027017788958519</v>
      </c>
      <c r="L35" s="30">
        <f t="shared" ca="1" si="2"/>
        <v>8.2309388415567605E-2</v>
      </c>
      <c r="M35" s="30">
        <f t="shared" ca="1" si="3"/>
        <v>-0.9027017788958519</v>
      </c>
      <c r="N35" s="30">
        <f t="shared" ca="1" si="4"/>
        <v>-0.57311058459040531</v>
      </c>
      <c r="O35" s="30">
        <f t="shared" ca="1" si="5"/>
        <v>102.50381404676344</v>
      </c>
      <c r="P35" s="30">
        <f t="shared" ca="1" si="6"/>
        <v>112.74968515793758</v>
      </c>
      <c r="Q35" s="30">
        <f t="shared" ca="1" si="7"/>
        <v>-10.245871111174139</v>
      </c>
      <c r="R35" s="31">
        <f t="shared" ca="1" si="0"/>
        <v>0</v>
      </c>
      <c r="S35" s="3"/>
      <c r="T35" s="17">
        <f t="shared" si="10"/>
        <v>21.932686422209706</v>
      </c>
      <c r="U35" s="22">
        <f t="shared" ca="1" si="8"/>
        <v>2</v>
      </c>
      <c r="V35" s="23">
        <v>3</v>
      </c>
      <c r="W35" s="6"/>
      <c r="X35" s="6">
        <f t="shared" si="11"/>
        <v>3</v>
      </c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</row>
    <row r="36" spans="1:49" x14ac:dyDescent="0.25">
      <c r="A36" s="3"/>
      <c r="B36" s="3"/>
      <c r="C36" s="3"/>
      <c r="D36" s="3"/>
      <c r="E36" s="3"/>
      <c r="F36" s="3"/>
      <c r="G36" s="3"/>
      <c r="H36" s="3"/>
      <c r="I36" s="3"/>
      <c r="J36" s="10">
        <v>33</v>
      </c>
      <c r="K36" s="29">
        <f t="shared" ca="1" si="1"/>
        <v>-1.2411923260819389</v>
      </c>
      <c r="L36" s="30">
        <f t="shared" ca="1" si="2"/>
        <v>0.64269212690160349</v>
      </c>
      <c r="M36" s="30">
        <f t="shared" ca="1" si="3"/>
        <v>-1.2411923260819389</v>
      </c>
      <c r="N36" s="30">
        <f t="shared" ca="1" si="4"/>
        <v>-0.40986064567177916</v>
      </c>
      <c r="O36" s="30">
        <f t="shared" ca="1" si="5"/>
        <v>99.09222214879378</v>
      </c>
      <c r="P36" s="30">
        <f t="shared" ca="1" si="6"/>
        <v>112.74968515793758</v>
      </c>
      <c r="Q36" s="30">
        <f t="shared" ca="1" si="7"/>
        <v>-13.657463009143797</v>
      </c>
      <c r="R36" s="31">
        <f t="shared" ref="R36:R67" ca="1" si="12">MAX(0,O36-P36)</f>
        <v>0</v>
      </c>
      <c r="S36" s="3"/>
      <c r="T36" s="17">
        <f t="shared" si="10"/>
        <v>23.926567006046952</v>
      </c>
      <c r="U36" s="22">
        <f t="shared" ca="1" si="8"/>
        <v>1</v>
      </c>
      <c r="V36" s="23">
        <v>6</v>
      </c>
      <c r="W36" s="6"/>
      <c r="X36" s="6">
        <f t="shared" si="11"/>
        <v>6</v>
      </c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</row>
    <row r="37" spans="1:49" x14ac:dyDescent="0.25">
      <c r="A37" s="3"/>
      <c r="B37" s="3"/>
      <c r="C37" s="3"/>
      <c r="D37" s="3"/>
      <c r="E37" s="3"/>
      <c r="F37" s="3"/>
      <c r="G37" s="3"/>
      <c r="H37" s="3"/>
      <c r="I37" s="3"/>
      <c r="J37" s="10">
        <v>34</v>
      </c>
      <c r="K37" s="29">
        <f t="shared" ca="1" si="1"/>
        <v>-0.32418916425512428</v>
      </c>
      <c r="L37" s="30">
        <f t="shared" ca="1" si="2"/>
        <v>2.3332453891141691</v>
      </c>
      <c r="M37" s="30">
        <f t="shared" ca="1" si="3"/>
        <v>-0.32418916425512428</v>
      </c>
      <c r="N37" s="30">
        <f t="shared" ca="1" si="4"/>
        <v>1.4393380802800582</v>
      </c>
      <c r="O37" s="30">
        <f t="shared" ca="1" si="5"/>
        <v>108.60867336634583</v>
      </c>
      <c r="P37" s="30">
        <f t="shared" ca="1" si="6"/>
        <v>112.74968515793758</v>
      </c>
      <c r="Q37" s="30">
        <f t="shared" ca="1" si="7"/>
        <v>-4.141011791591751</v>
      </c>
      <c r="R37" s="31">
        <f t="shared" ca="1" si="12"/>
        <v>0</v>
      </c>
      <c r="S37" s="3"/>
      <c r="T37" s="17">
        <f t="shared" si="10"/>
        <v>25.920447589884198</v>
      </c>
      <c r="U37" s="22">
        <f t="shared" ca="1" si="8"/>
        <v>1</v>
      </c>
      <c r="V37" s="23">
        <v>5</v>
      </c>
      <c r="W37" s="6"/>
      <c r="X37" s="6">
        <f t="shared" si="11"/>
        <v>5</v>
      </c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</row>
    <row r="38" spans="1:49" x14ac:dyDescent="0.25">
      <c r="A38" s="3"/>
      <c r="B38" s="3"/>
      <c r="C38" s="3"/>
      <c r="D38" s="3"/>
      <c r="E38" s="3"/>
      <c r="F38" s="3"/>
      <c r="G38" s="3"/>
      <c r="H38" s="3"/>
      <c r="I38" s="3"/>
      <c r="J38" s="10">
        <v>35</v>
      </c>
      <c r="K38" s="29">
        <f t="shared" ca="1" si="1"/>
        <v>1.3367735906127005</v>
      </c>
      <c r="L38" s="30">
        <f t="shared" ca="1" si="2"/>
        <v>-1.1161893900675388</v>
      </c>
      <c r="M38" s="30">
        <f t="shared" ca="1" si="3"/>
        <v>1.3367735906127005</v>
      </c>
      <c r="N38" s="30">
        <f t="shared" ca="1" si="4"/>
        <v>0.13862284924226775</v>
      </c>
      <c r="O38" s="30">
        <f t="shared" ca="1" si="5"/>
        <v>128.23282347338449</v>
      </c>
      <c r="P38" s="30">
        <f t="shared" ca="1" si="6"/>
        <v>112.74968515793758</v>
      </c>
      <c r="Q38" s="30">
        <f t="shared" ca="1" si="7"/>
        <v>15.483138315446908</v>
      </c>
      <c r="R38" s="31">
        <f t="shared" ca="1" si="12"/>
        <v>15.483138315446908</v>
      </c>
      <c r="S38" s="3"/>
      <c r="T38" s="17">
        <f t="shared" si="10"/>
        <v>27.914328173721444</v>
      </c>
      <c r="U38" s="22">
        <f t="shared" ca="1" si="8"/>
        <v>1</v>
      </c>
      <c r="V38" s="23">
        <v>9</v>
      </c>
      <c r="W38" s="6"/>
      <c r="X38" s="6">
        <f t="shared" si="11"/>
        <v>9</v>
      </c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</row>
    <row r="39" spans="1:49" x14ac:dyDescent="0.25">
      <c r="A39" s="3"/>
      <c r="B39" s="3"/>
      <c r="C39" s="3"/>
      <c r="D39" s="3"/>
      <c r="E39" s="3"/>
      <c r="F39" s="3"/>
      <c r="G39" s="3"/>
      <c r="H39" s="3"/>
      <c r="I39" s="3"/>
      <c r="J39" s="10">
        <v>36</v>
      </c>
      <c r="K39" s="29">
        <f t="shared" ca="1" si="1"/>
        <v>1.0168688279960942</v>
      </c>
      <c r="L39" s="30">
        <f t="shared" ca="1" si="2"/>
        <v>-0.84309354095054434</v>
      </c>
      <c r="M39" s="30">
        <f t="shared" ca="1" si="3"/>
        <v>1.0168688279960942</v>
      </c>
      <c r="N39" s="30">
        <f t="shared" ca="1" si="4"/>
        <v>0.10971896147075866</v>
      </c>
      <c r="O39" s="30">
        <f t="shared" ca="1" si="5"/>
        <v>124.19551637254121</v>
      </c>
      <c r="P39" s="30">
        <f t="shared" ca="1" si="6"/>
        <v>112.74968515793758</v>
      </c>
      <c r="Q39" s="30">
        <f t="shared" ca="1" si="7"/>
        <v>11.445831214603629</v>
      </c>
      <c r="R39" s="31">
        <f t="shared" ca="1" si="12"/>
        <v>11.445831214603629</v>
      </c>
      <c r="S39" s="3"/>
      <c r="T39" s="17">
        <f t="shared" si="10"/>
        <v>29.90820875755869</v>
      </c>
      <c r="U39" s="22">
        <f t="shared" ca="1" si="8"/>
        <v>0</v>
      </c>
      <c r="V39" s="23">
        <v>1</v>
      </c>
      <c r="W39" s="6"/>
      <c r="X39" s="6">
        <f t="shared" si="11"/>
        <v>1</v>
      </c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</row>
    <row r="40" spans="1:49" x14ac:dyDescent="0.25">
      <c r="A40" s="3"/>
      <c r="B40" s="3"/>
      <c r="C40" s="3"/>
      <c r="D40" s="3"/>
      <c r="E40" s="3"/>
      <c r="F40" s="3"/>
      <c r="G40" s="3"/>
      <c r="H40" s="3"/>
      <c r="I40" s="3"/>
      <c r="J40" s="10">
        <v>37</v>
      </c>
      <c r="K40" s="29">
        <f t="shared" ca="1" si="1"/>
        <v>1.098016585431931</v>
      </c>
      <c r="L40" s="30">
        <f t="shared" ca="1" si="2"/>
        <v>1.0444248946410253</v>
      </c>
      <c r="M40" s="30">
        <f t="shared" ca="1" si="3"/>
        <v>1.098016585431931</v>
      </c>
      <c r="N40" s="30">
        <f t="shared" ca="1" si="4"/>
        <v>1.5144801732090807</v>
      </c>
      <c r="O40" s="30">
        <f t="shared" ca="1" si="5"/>
        <v>125.20743533110846</v>
      </c>
      <c r="P40" s="30">
        <f t="shared" ca="1" si="6"/>
        <v>112.74968515793758</v>
      </c>
      <c r="Q40" s="30">
        <f t="shared" ca="1" si="7"/>
        <v>12.457750173170879</v>
      </c>
      <c r="R40" s="31">
        <f t="shared" ca="1" si="12"/>
        <v>12.457750173170879</v>
      </c>
      <c r="S40" s="3"/>
      <c r="T40" s="17">
        <f t="shared" si="10"/>
        <v>31.902089341395936</v>
      </c>
      <c r="U40" s="22">
        <f t="shared" ca="1" si="8"/>
        <v>0</v>
      </c>
      <c r="V40" s="23">
        <v>0</v>
      </c>
      <c r="W40" s="6"/>
      <c r="X40" s="6">
        <f t="shared" si="11"/>
        <v>0</v>
      </c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</row>
    <row r="41" spans="1:49" x14ac:dyDescent="0.25">
      <c r="A41" s="3"/>
      <c r="B41" s="3"/>
      <c r="C41" s="3"/>
      <c r="D41" s="3"/>
      <c r="E41" s="3"/>
      <c r="F41" s="3"/>
      <c r="G41" s="3"/>
      <c r="H41" s="3"/>
      <c r="I41" s="3"/>
      <c r="J41" s="10">
        <v>38</v>
      </c>
      <c r="K41" s="29">
        <f t="shared" ca="1" si="1"/>
        <v>0.33256140701241504</v>
      </c>
      <c r="L41" s="30">
        <f t="shared" ca="1" si="2"/>
        <v>-0.40292621595513028</v>
      </c>
      <c r="M41" s="30">
        <f t="shared" ca="1" si="3"/>
        <v>0.33256140701241504</v>
      </c>
      <c r="N41" s="30">
        <f t="shared" ca="1" si="4"/>
        <v>-5.4953888414025792E-2</v>
      </c>
      <c r="O41" s="30">
        <f t="shared" ca="1" si="5"/>
        <v>115.98099328492899</v>
      </c>
      <c r="P41" s="30">
        <f t="shared" ca="1" si="6"/>
        <v>112.74968515793758</v>
      </c>
      <c r="Q41" s="30">
        <f t="shared" ca="1" si="7"/>
        <v>3.2313081269914079</v>
      </c>
      <c r="R41" s="31">
        <f t="shared" ca="1" si="12"/>
        <v>3.2313081269914079</v>
      </c>
      <c r="S41" s="3"/>
      <c r="T41" s="17">
        <f t="shared" si="10"/>
        <v>33.895969925233182</v>
      </c>
      <c r="U41" s="22">
        <f t="shared" ca="1" si="8"/>
        <v>0</v>
      </c>
      <c r="V41" s="23">
        <v>0</v>
      </c>
      <c r="W41" s="6"/>
      <c r="X41" s="6">
        <f t="shared" si="11"/>
        <v>0</v>
      </c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</row>
    <row r="42" spans="1:49" x14ac:dyDescent="0.25">
      <c r="A42" s="3"/>
      <c r="B42" s="3"/>
      <c r="C42" s="3"/>
      <c r="D42" s="3"/>
      <c r="E42" s="3"/>
      <c r="F42" s="3"/>
      <c r="G42" s="3"/>
      <c r="H42" s="3"/>
      <c r="I42" s="3"/>
      <c r="J42" s="10">
        <v>39</v>
      </c>
      <c r="K42" s="29">
        <f t="shared" ca="1" si="1"/>
        <v>-1.0089525950239249</v>
      </c>
      <c r="L42" s="30">
        <f t="shared" ca="1" si="2"/>
        <v>1.4124173917167451</v>
      </c>
      <c r="M42" s="30">
        <f t="shared" ca="1" si="3"/>
        <v>-1.0089525950239249</v>
      </c>
      <c r="N42" s="30">
        <f t="shared" ca="1" si="4"/>
        <v>0.30240095490068319</v>
      </c>
      <c r="O42" s="30">
        <f t="shared" ca="1" si="5"/>
        <v>101.42046816785188</v>
      </c>
      <c r="P42" s="30">
        <f t="shared" ca="1" si="6"/>
        <v>112.74968515793758</v>
      </c>
      <c r="Q42" s="30">
        <f t="shared" ca="1" si="7"/>
        <v>-11.329216990085698</v>
      </c>
      <c r="R42" s="31">
        <f t="shared" ca="1" si="12"/>
        <v>0</v>
      </c>
      <c r="S42" s="3"/>
      <c r="T42" s="17">
        <f t="shared" si="10"/>
        <v>35.889850509070428</v>
      </c>
      <c r="U42" s="22">
        <f t="shared" ca="1" si="8"/>
        <v>0</v>
      </c>
      <c r="V42" s="23">
        <v>3</v>
      </c>
      <c r="W42" s="6"/>
      <c r="X42" s="6">
        <f t="shared" si="11"/>
        <v>3</v>
      </c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</row>
    <row r="43" spans="1:49" x14ac:dyDescent="0.25">
      <c r="A43" s="3"/>
      <c r="B43" s="3"/>
      <c r="C43" s="3"/>
      <c r="D43" s="3"/>
      <c r="E43" s="3"/>
      <c r="F43" s="3"/>
      <c r="G43" s="3"/>
      <c r="H43" s="3"/>
      <c r="I43" s="3"/>
      <c r="J43" s="10">
        <v>40</v>
      </c>
      <c r="K43" s="29">
        <f t="shared" ca="1" si="1"/>
        <v>1.7349885699403402</v>
      </c>
      <c r="L43" s="30">
        <f t="shared" ca="1" si="2"/>
        <v>-0.36996683667488861</v>
      </c>
      <c r="M43" s="30">
        <f t="shared" ca="1" si="3"/>
        <v>1.7349885699403402</v>
      </c>
      <c r="N43" s="30">
        <f t="shared" ca="1" si="4"/>
        <v>0.95028283045342621</v>
      </c>
      <c r="O43" s="30">
        <f t="shared" ca="1" si="5"/>
        <v>133.44228242687782</v>
      </c>
      <c r="P43" s="30">
        <f t="shared" ca="1" si="6"/>
        <v>112.74968515793758</v>
      </c>
      <c r="Q43" s="30">
        <f t="shared" ca="1" si="7"/>
        <v>20.692597268940247</v>
      </c>
      <c r="R43" s="31">
        <f t="shared" ca="1" si="12"/>
        <v>20.692597268940247</v>
      </c>
      <c r="S43" s="3"/>
      <c r="T43" s="17">
        <f t="shared" si="10"/>
        <v>37.883731092907674</v>
      </c>
      <c r="U43" s="22">
        <f t="shared" ca="1" si="8"/>
        <v>0</v>
      </c>
      <c r="V43" s="23">
        <v>1</v>
      </c>
      <c r="W43" s="6"/>
      <c r="X43" s="6">
        <f t="shared" si="11"/>
        <v>1</v>
      </c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</row>
    <row r="44" spans="1:49" x14ac:dyDescent="0.25">
      <c r="A44" s="3"/>
      <c r="B44" s="3"/>
      <c r="C44" s="3"/>
      <c r="D44" s="3"/>
      <c r="E44" s="3"/>
      <c r="F44" s="3"/>
      <c r="G44" s="3"/>
      <c r="H44" s="3"/>
      <c r="I44" s="3"/>
      <c r="J44" s="10">
        <v>41</v>
      </c>
      <c r="K44" s="29">
        <f t="shared" ca="1" si="1"/>
        <v>1.2609067687626379</v>
      </c>
      <c r="L44" s="30">
        <f t="shared" ca="1" si="2"/>
        <v>0.55625571382222672</v>
      </c>
      <c r="M44" s="30">
        <f t="shared" ca="1" si="3"/>
        <v>1.2609067687626379</v>
      </c>
      <c r="N44" s="30">
        <f t="shared" ca="1" si="4"/>
        <v>1.2798807749567911</v>
      </c>
      <c r="O44" s="30">
        <f t="shared" ca="1" si="5"/>
        <v>127.26364287723713</v>
      </c>
      <c r="P44" s="30">
        <f t="shared" ca="1" si="6"/>
        <v>112.74968515793758</v>
      </c>
      <c r="Q44" s="30">
        <f t="shared" ca="1" si="7"/>
        <v>14.513957719299555</v>
      </c>
      <c r="R44" s="31">
        <f t="shared" ca="1" si="12"/>
        <v>14.513957719299555</v>
      </c>
      <c r="S44" s="3"/>
      <c r="T44" s="17">
        <f t="shared" si="10"/>
        <v>39.87761167674492</v>
      </c>
      <c r="U44" s="24">
        <f t="shared" ca="1" si="8"/>
        <v>0</v>
      </c>
      <c r="V44" s="25">
        <v>0</v>
      </c>
      <c r="W44" s="6"/>
      <c r="X44" s="6">
        <f t="shared" si="11"/>
        <v>0</v>
      </c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</row>
    <row r="45" spans="1:49" x14ac:dyDescent="0.25">
      <c r="A45" s="3"/>
      <c r="B45" s="3"/>
      <c r="C45" s="3"/>
      <c r="D45" s="3"/>
      <c r="E45" s="3"/>
      <c r="F45" s="3"/>
      <c r="G45" s="3"/>
      <c r="H45" s="3"/>
      <c r="I45" s="3"/>
      <c r="J45" s="10">
        <v>42</v>
      </c>
      <c r="K45" s="29">
        <f t="shared" ca="1" si="1"/>
        <v>0.41147007065546248</v>
      </c>
      <c r="L45" s="30">
        <f t="shared" ca="1" si="2"/>
        <v>-1.5306775609135332E-2</v>
      </c>
      <c r="M45" s="30">
        <f t="shared" ca="1" si="3"/>
        <v>0.41147007065546248</v>
      </c>
      <c r="N45" s="30">
        <f t="shared" ca="1" si="4"/>
        <v>0.27709782521038318</v>
      </c>
      <c r="O45" s="30">
        <f t="shared" ca="1" si="5"/>
        <v>116.89980414305346</v>
      </c>
      <c r="P45" s="30">
        <f t="shared" ca="1" si="6"/>
        <v>112.74968515793758</v>
      </c>
      <c r="Q45" s="30">
        <f t="shared" ca="1" si="7"/>
        <v>4.1501189851158813</v>
      </c>
      <c r="R45" s="31">
        <f t="shared" ca="1" si="12"/>
        <v>4.1501189851158813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</row>
    <row r="46" spans="1:49" x14ac:dyDescent="0.25">
      <c r="A46" s="3"/>
      <c r="B46" s="3"/>
      <c r="C46" s="3"/>
      <c r="D46" s="3"/>
      <c r="E46" s="3"/>
      <c r="F46" s="3"/>
      <c r="G46" s="3"/>
      <c r="H46" s="3"/>
      <c r="I46" s="3"/>
      <c r="J46" s="10">
        <v>43</v>
      </c>
      <c r="K46" s="29">
        <f t="shared" ca="1" si="1"/>
        <v>1.071703675309098</v>
      </c>
      <c r="L46" s="30">
        <f t="shared" ca="1" si="2"/>
        <v>-0.63011647634676393</v>
      </c>
      <c r="M46" s="30">
        <f t="shared" ca="1" si="3"/>
        <v>1.071703675309098</v>
      </c>
      <c r="N46" s="30">
        <f t="shared" ca="1" si="4"/>
        <v>0.30019940096876579</v>
      </c>
      <c r="O46" s="30">
        <f t="shared" ca="1" si="5"/>
        <v>124.87841120080756</v>
      </c>
      <c r="P46" s="30">
        <f t="shared" ca="1" si="6"/>
        <v>112.74968515793758</v>
      </c>
      <c r="Q46" s="30">
        <f t="shared" ca="1" si="7"/>
        <v>12.128726042869985</v>
      </c>
      <c r="R46" s="31">
        <f t="shared" ca="1" si="12"/>
        <v>12.128726042869985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</row>
    <row r="47" spans="1:49" x14ac:dyDescent="0.25">
      <c r="A47" s="3"/>
      <c r="B47" s="3"/>
      <c r="C47" s="3"/>
      <c r="D47" s="3"/>
      <c r="E47" s="3"/>
      <c r="F47" s="3"/>
      <c r="G47" s="3"/>
      <c r="H47" s="3"/>
      <c r="I47" s="3"/>
      <c r="J47" s="10">
        <v>44</v>
      </c>
      <c r="K47" s="29">
        <f t="shared" ca="1" si="1"/>
        <v>-0.98909255030890897</v>
      </c>
      <c r="L47" s="30">
        <f t="shared" ca="1" si="2"/>
        <v>-0.77151140447217847</v>
      </c>
      <c r="M47" s="30">
        <f t="shared" ca="1" si="3"/>
        <v>-0.98909255030890897</v>
      </c>
      <c r="N47" s="30">
        <f t="shared" ca="1" si="4"/>
        <v>-1.2433341329004999</v>
      </c>
      <c r="O47" s="30">
        <f t="shared" ca="1" si="5"/>
        <v>101.62208981561211</v>
      </c>
      <c r="P47" s="30">
        <f t="shared" ca="1" si="6"/>
        <v>112.74968515793758</v>
      </c>
      <c r="Q47" s="30">
        <f t="shared" ca="1" si="7"/>
        <v>-11.127595342325463</v>
      </c>
      <c r="R47" s="31">
        <f t="shared" ca="1" si="12"/>
        <v>0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</row>
    <row r="48" spans="1:49" x14ac:dyDescent="0.25">
      <c r="A48" s="3"/>
      <c r="B48" s="3"/>
      <c r="C48" s="3"/>
      <c r="D48" s="3"/>
      <c r="E48" s="3"/>
      <c r="F48" s="3"/>
      <c r="G48" s="3"/>
      <c r="H48" s="3"/>
      <c r="I48" s="3"/>
      <c r="J48" s="10">
        <v>45</v>
      </c>
      <c r="K48" s="29">
        <f t="shared" ca="1" si="1"/>
        <v>1.0371030208268186</v>
      </c>
      <c r="L48" s="30">
        <f t="shared" ca="1" si="2"/>
        <v>1.0693248991793449</v>
      </c>
      <c r="M48" s="30">
        <f t="shared" ca="1" si="3"/>
        <v>1.0371030208268186</v>
      </c>
      <c r="N48" s="30">
        <f t="shared" ca="1" si="4"/>
        <v>1.4896228380135819</v>
      </c>
      <c r="O48" s="30">
        <f t="shared" ca="1" si="5"/>
        <v>124.44707038903782</v>
      </c>
      <c r="P48" s="30">
        <f t="shared" ca="1" si="6"/>
        <v>112.74968515793758</v>
      </c>
      <c r="Q48" s="30">
        <f t="shared" ca="1" si="7"/>
        <v>11.697385231100242</v>
      </c>
      <c r="R48" s="31">
        <f t="shared" ca="1" si="12"/>
        <v>11.697385231100242</v>
      </c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</row>
    <row r="49" spans="1:49" x14ac:dyDescent="0.25">
      <c r="A49" s="3"/>
      <c r="B49" s="3"/>
      <c r="C49" s="3"/>
      <c r="D49" s="3"/>
      <c r="E49" s="3"/>
      <c r="F49" s="3"/>
      <c r="G49" s="3"/>
      <c r="H49" s="3"/>
      <c r="I49" s="3"/>
      <c r="J49" s="10">
        <v>46</v>
      </c>
      <c r="K49" s="29">
        <f t="shared" ca="1" si="1"/>
        <v>-2.0595629863345128</v>
      </c>
      <c r="L49" s="30">
        <f t="shared" ca="1" si="2"/>
        <v>-2.4131216617852087</v>
      </c>
      <c r="M49" s="30">
        <f t="shared" ca="1" si="3"/>
        <v>-2.0595629863345128</v>
      </c>
      <c r="N49" s="30">
        <f t="shared" ca="1" si="4"/>
        <v>-3.1650076541347039</v>
      </c>
      <c r="O49" s="30">
        <f t="shared" ca="1" si="5"/>
        <v>91.305761189277291</v>
      </c>
      <c r="P49" s="30">
        <f t="shared" ca="1" si="6"/>
        <v>112.74968515793758</v>
      </c>
      <c r="Q49" s="30">
        <f t="shared" ca="1" si="7"/>
        <v>-21.443923968660286</v>
      </c>
      <c r="R49" s="31">
        <f t="shared" ca="1" si="12"/>
        <v>0</v>
      </c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</row>
    <row r="50" spans="1:49" x14ac:dyDescent="0.25">
      <c r="A50" s="3"/>
      <c r="B50" s="3"/>
      <c r="C50" s="3"/>
      <c r="D50" s="3"/>
      <c r="E50" s="3"/>
      <c r="F50" s="3"/>
      <c r="G50" s="3"/>
      <c r="H50" s="3"/>
      <c r="I50" s="3"/>
      <c r="J50" s="10">
        <v>47</v>
      </c>
      <c r="K50" s="29">
        <f t="shared" ca="1" si="1"/>
        <v>0.57596480633866942</v>
      </c>
      <c r="L50" s="30">
        <f t="shared" ca="1" si="2"/>
        <v>-4.3837658453246171E-2</v>
      </c>
      <c r="M50" s="30">
        <f t="shared" ca="1" si="3"/>
        <v>0.57596480633866942</v>
      </c>
      <c r="N50" s="30">
        <f t="shared" ca="1" si="4"/>
        <v>0.37186901440519216</v>
      </c>
      <c r="O50" s="30">
        <f t="shared" ca="1" si="5"/>
        <v>118.83864713641469</v>
      </c>
      <c r="P50" s="30">
        <f t="shared" ca="1" si="6"/>
        <v>112.74968515793758</v>
      </c>
      <c r="Q50" s="30">
        <f t="shared" ca="1" si="7"/>
        <v>6.0889619784771156</v>
      </c>
      <c r="R50" s="31">
        <f t="shared" ca="1" si="12"/>
        <v>6.0889619784771156</v>
      </c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</row>
    <row r="51" spans="1:49" x14ac:dyDescent="0.25">
      <c r="A51" s="3"/>
      <c r="B51" s="3"/>
      <c r="C51" s="3"/>
      <c r="D51" s="3"/>
      <c r="E51" s="3"/>
      <c r="F51" s="3"/>
      <c r="G51" s="3"/>
      <c r="H51" s="3"/>
      <c r="I51" s="3"/>
      <c r="J51" s="10">
        <v>48</v>
      </c>
      <c r="K51" s="29">
        <f t="shared" ca="1" si="1"/>
        <v>4.6497759741216498E-2</v>
      </c>
      <c r="L51" s="30">
        <f t="shared" ca="1" si="2"/>
        <v>-0.28716207283847506</v>
      </c>
      <c r="M51" s="30">
        <f t="shared" ca="1" si="3"/>
        <v>4.6497759741216498E-2</v>
      </c>
      <c r="N51" s="30">
        <f t="shared" ca="1" si="4"/>
        <v>-0.17252630723794626</v>
      </c>
      <c r="O51" s="30">
        <f t="shared" ca="1" si="5"/>
        <v>112.71020442323952</v>
      </c>
      <c r="P51" s="30">
        <f t="shared" ca="1" si="6"/>
        <v>112.74968515793758</v>
      </c>
      <c r="Q51" s="30">
        <f t="shared" ca="1" si="7"/>
        <v>-3.9480734698059905E-2</v>
      </c>
      <c r="R51" s="31">
        <f t="shared" ca="1" si="12"/>
        <v>0</v>
      </c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</row>
    <row r="52" spans="1:49" x14ac:dyDescent="0.25">
      <c r="A52" s="3"/>
      <c r="B52" s="3"/>
      <c r="C52" s="3"/>
      <c r="D52" s="3"/>
      <c r="E52" s="3"/>
      <c r="F52" s="3"/>
      <c r="G52" s="3"/>
      <c r="H52" s="3"/>
      <c r="I52" s="3"/>
      <c r="J52" s="10">
        <v>49</v>
      </c>
      <c r="K52" s="29">
        <f t="shared" ca="1" si="1"/>
        <v>0.7959515766860471</v>
      </c>
      <c r="L52" s="30">
        <f t="shared" ca="1" si="2"/>
        <v>-0.312200985677972</v>
      </c>
      <c r="M52" s="30">
        <f t="shared" ca="1" si="3"/>
        <v>0.7959515766860471</v>
      </c>
      <c r="N52" s="30">
        <f t="shared" ca="1" si="4"/>
        <v>0.33421000422625607</v>
      </c>
      <c r="O52" s="30">
        <f t="shared" ca="1" si="5"/>
        <v>121.48190767362541</v>
      </c>
      <c r="P52" s="30">
        <f t="shared" ca="1" si="6"/>
        <v>112.74968515793758</v>
      </c>
      <c r="Q52" s="30">
        <f t="shared" ca="1" si="7"/>
        <v>8.7322225156878375</v>
      </c>
      <c r="R52" s="31">
        <f t="shared" ca="1" si="12"/>
        <v>8.7322225156878375</v>
      </c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</row>
    <row r="53" spans="1:49" x14ac:dyDescent="0.25">
      <c r="A53" s="3"/>
      <c r="B53" s="3"/>
      <c r="C53" s="3"/>
      <c r="D53" s="3"/>
      <c r="E53" s="3"/>
      <c r="F53" s="3"/>
      <c r="G53" s="3"/>
      <c r="H53" s="3"/>
      <c r="I53" s="3"/>
      <c r="J53" s="10">
        <v>50</v>
      </c>
      <c r="K53" s="29">
        <f t="shared" ca="1" si="1"/>
        <v>0.72898785165812663</v>
      </c>
      <c r="L53" s="30">
        <f t="shared" ca="1" si="2"/>
        <v>-1.2342440891642743</v>
      </c>
      <c r="M53" s="30">
        <f t="shared" ca="1" si="3"/>
        <v>0.72898785165812663</v>
      </c>
      <c r="N53" s="30">
        <f t="shared" ca="1" si="4"/>
        <v>-0.37113508645118387</v>
      </c>
      <c r="O53" s="30">
        <f t="shared" ca="1" si="5"/>
        <v>120.67113720769174</v>
      </c>
      <c r="P53" s="30">
        <f t="shared" ca="1" si="6"/>
        <v>112.74968515793758</v>
      </c>
      <c r="Q53" s="30">
        <f t="shared" ca="1" si="7"/>
        <v>7.9214520497541656</v>
      </c>
      <c r="R53" s="31">
        <f t="shared" ca="1" si="12"/>
        <v>7.9214520497541656</v>
      </c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</row>
    <row r="54" spans="1:49" x14ac:dyDescent="0.25">
      <c r="A54" s="3"/>
      <c r="B54" s="3"/>
      <c r="C54" s="3"/>
      <c r="D54" s="3"/>
      <c r="E54" s="3"/>
      <c r="F54" s="3"/>
      <c r="G54" s="3"/>
      <c r="H54" s="3"/>
      <c r="I54" s="3"/>
      <c r="J54" s="10">
        <v>51</v>
      </c>
      <c r="K54" s="29">
        <f t="shared" ca="1" si="1"/>
        <v>-0.46458005631733085</v>
      </c>
      <c r="L54" s="30">
        <f t="shared" ca="1" si="2"/>
        <v>0.28562629162842884</v>
      </c>
      <c r="M54" s="30">
        <f t="shared" ca="1" si="3"/>
        <v>-0.46458005631733085</v>
      </c>
      <c r="N54" s="30">
        <f t="shared" ca="1" si="4"/>
        <v>-0.12122806752467832</v>
      </c>
      <c r="O54" s="30">
        <f t="shared" ca="1" si="5"/>
        <v>107.09455976904951</v>
      </c>
      <c r="P54" s="30">
        <f t="shared" ca="1" si="6"/>
        <v>112.74968515793758</v>
      </c>
      <c r="Q54" s="30">
        <f t="shared" ca="1" si="7"/>
        <v>-5.6551253888880666</v>
      </c>
      <c r="R54" s="31">
        <f t="shared" ca="1" si="12"/>
        <v>0</v>
      </c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</row>
    <row r="55" spans="1:49" x14ac:dyDescent="0.25">
      <c r="A55" s="3"/>
      <c r="B55" s="3"/>
      <c r="C55" s="3"/>
      <c r="D55" s="3"/>
      <c r="E55" s="3"/>
      <c r="F55" s="3"/>
      <c r="G55" s="3"/>
      <c r="H55" s="3"/>
      <c r="I55" s="3"/>
      <c r="J55" s="10">
        <v>52</v>
      </c>
      <c r="K55" s="29">
        <f t="shared" ca="1" si="1"/>
        <v>0.66466004673892731</v>
      </c>
      <c r="L55" s="30">
        <f t="shared" ca="1" si="2"/>
        <v>-1.5928472220024936</v>
      </c>
      <c r="M55" s="30">
        <f t="shared" ca="1" si="3"/>
        <v>0.66466004673892731</v>
      </c>
      <c r="N55" s="30">
        <f t="shared" ca="1" si="4"/>
        <v>-0.6722584106361621</v>
      </c>
      <c r="O55" s="30">
        <f t="shared" ca="1" si="5"/>
        <v>119.8973776512363</v>
      </c>
      <c r="P55" s="30">
        <f t="shared" ca="1" si="6"/>
        <v>112.74968515793758</v>
      </c>
      <c r="Q55" s="30">
        <f t="shared" ca="1" si="7"/>
        <v>7.1476924932987203</v>
      </c>
      <c r="R55" s="31">
        <f t="shared" ca="1" si="12"/>
        <v>7.1476924932987203</v>
      </c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</row>
    <row r="56" spans="1:49" x14ac:dyDescent="0.25">
      <c r="A56" s="3"/>
      <c r="B56" s="3"/>
      <c r="C56" s="3"/>
      <c r="D56" s="3"/>
      <c r="E56" s="3"/>
      <c r="F56" s="3"/>
      <c r="G56" s="3"/>
      <c r="H56" s="3"/>
      <c r="I56" s="3"/>
      <c r="J56" s="10">
        <v>53</v>
      </c>
      <c r="K56" s="29">
        <f t="shared" ca="1" si="1"/>
        <v>0.70187616625926641</v>
      </c>
      <c r="L56" s="30">
        <f t="shared" ca="1" si="2"/>
        <v>-0.45909199653501509</v>
      </c>
      <c r="M56" s="30">
        <f t="shared" ca="1" si="3"/>
        <v>0.70187616625926641</v>
      </c>
      <c r="N56" s="30">
        <f t="shared" ca="1" si="4"/>
        <v>0.16345605284432124</v>
      </c>
      <c r="O56" s="30">
        <f t="shared" ca="1" si="5"/>
        <v>120.34442050896527</v>
      </c>
      <c r="P56" s="30">
        <f t="shared" ca="1" si="6"/>
        <v>112.74968515793758</v>
      </c>
      <c r="Q56" s="30">
        <f t="shared" ca="1" si="7"/>
        <v>7.594735351027694</v>
      </c>
      <c r="R56" s="31">
        <f t="shared" ca="1" si="12"/>
        <v>7.594735351027694</v>
      </c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</row>
    <row r="57" spans="1:49" x14ac:dyDescent="0.25">
      <c r="A57" s="3"/>
      <c r="B57" s="3"/>
      <c r="C57" s="3"/>
      <c r="D57" s="3"/>
      <c r="E57" s="3"/>
      <c r="F57" s="3"/>
      <c r="G57" s="3"/>
      <c r="H57" s="3"/>
      <c r="I57" s="3"/>
      <c r="J57" s="10">
        <v>54</v>
      </c>
      <c r="K57" s="29">
        <f t="shared" ca="1" si="1"/>
        <v>0.17724286701210196</v>
      </c>
      <c r="L57" s="30">
        <f t="shared" ca="1" si="2"/>
        <v>1.1464755956752131</v>
      </c>
      <c r="M57" s="30">
        <f t="shared" ca="1" si="3"/>
        <v>0.17724286701210196</v>
      </c>
      <c r="N57" s="30">
        <f t="shared" ca="1" si="4"/>
        <v>0.94281734806702777</v>
      </c>
      <c r="O57" s="30">
        <f t="shared" ca="1" si="5"/>
        <v>114.19351082275011</v>
      </c>
      <c r="P57" s="30">
        <f t="shared" ca="1" si="6"/>
        <v>112.74968515793758</v>
      </c>
      <c r="Q57" s="30">
        <f t="shared" ca="1" si="7"/>
        <v>1.443825664812536</v>
      </c>
      <c r="R57" s="31">
        <f t="shared" ca="1" si="12"/>
        <v>1.443825664812536</v>
      </c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</row>
    <row r="58" spans="1:49" x14ac:dyDescent="0.25">
      <c r="A58" s="3"/>
      <c r="B58" s="3"/>
      <c r="C58" s="3"/>
      <c r="D58" s="3"/>
      <c r="E58" s="3"/>
      <c r="F58" s="3"/>
      <c r="G58" s="3"/>
      <c r="H58" s="3"/>
      <c r="I58" s="3"/>
      <c r="J58" s="10">
        <v>55</v>
      </c>
      <c r="K58" s="29">
        <f t="shared" ca="1" si="1"/>
        <v>-2.626190940178962</v>
      </c>
      <c r="L58" s="30">
        <f t="shared" ca="1" si="2"/>
        <v>0.54086554357338179</v>
      </c>
      <c r="M58" s="30">
        <f t="shared" ca="1" si="3"/>
        <v>-2.626190940178962</v>
      </c>
      <c r="N58" s="30">
        <f t="shared" ca="1" si="4"/>
        <v>-1.4520784012358503</v>
      </c>
      <c r="O58" s="30">
        <f t="shared" ca="1" si="5"/>
        <v>86.275968268561627</v>
      </c>
      <c r="P58" s="30">
        <f t="shared" ca="1" si="6"/>
        <v>112.74968515793758</v>
      </c>
      <c r="Q58" s="30">
        <f t="shared" ca="1" si="7"/>
        <v>-26.47371688937595</v>
      </c>
      <c r="R58" s="31">
        <f t="shared" ca="1" si="12"/>
        <v>0</v>
      </c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</row>
    <row r="59" spans="1:49" x14ac:dyDescent="0.25">
      <c r="A59" s="3"/>
      <c r="B59" s="3"/>
      <c r="C59" s="3"/>
      <c r="D59" s="3"/>
      <c r="E59" s="3"/>
      <c r="F59" s="3"/>
      <c r="G59" s="3"/>
      <c r="H59" s="3"/>
      <c r="I59" s="3"/>
      <c r="J59" s="10">
        <v>56</v>
      </c>
      <c r="K59" s="29">
        <f t="shared" ca="1" si="1"/>
        <v>1.8793396346473279</v>
      </c>
      <c r="L59" s="30">
        <f t="shared" ca="1" si="2"/>
        <v>-1.8603285113962982</v>
      </c>
      <c r="M59" s="30">
        <f t="shared" ca="1" si="3"/>
        <v>1.8793396346473279</v>
      </c>
      <c r="N59" s="30">
        <f t="shared" ca="1" si="4"/>
        <v>-1.3002547518302876E-2</v>
      </c>
      <c r="O59" s="30">
        <f t="shared" ca="1" si="5"/>
        <v>135.38250595740348</v>
      </c>
      <c r="P59" s="30">
        <f t="shared" ca="1" si="6"/>
        <v>112.74968515793758</v>
      </c>
      <c r="Q59" s="30">
        <f t="shared" ca="1" si="7"/>
        <v>22.632820799465904</v>
      </c>
      <c r="R59" s="31">
        <f t="shared" ca="1" si="12"/>
        <v>22.632820799465904</v>
      </c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</row>
    <row r="60" spans="1:49" x14ac:dyDescent="0.25">
      <c r="A60" s="3"/>
      <c r="B60" s="3"/>
      <c r="C60" s="3"/>
      <c r="D60" s="3"/>
      <c r="E60" s="3"/>
      <c r="F60" s="3"/>
      <c r="G60" s="3"/>
      <c r="H60" s="3"/>
      <c r="I60" s="3"/>
      <c r="J60" s="10">
        <v>57</v>
      </c>
      <c r="K60" s="29">
        <f t="shared" ca="1" si="1"/>
        <v>3.326270716192959E-2</v>
      </c>
      <c r="L60" s="30">
        <f t="shared" ca="1" si="2"/>
        <v>0.17429777294551907</v>
      </c>
      <c r="M60" s="30">
        <f t="shared" ca="1" si="3"/>
        <v>3.326270716192959E-2</v>
      </c>
      <c r="N60" s="30">
        <f t="shared" ca="1" si="4"/>
        <v>0.14775740208783439</v>
      </c>
      <c r="O60" s="30">
        <f t="shared" ca="1" si="5"/>
        <v>112.56113054685338</v>
      </c>
      <c r="P60" s="30">
        <f t="shared" ca="1" si="6"/>
        <v>112.74968515793758</v>
      </c>
      <c r="Q60" s="30">
        <f t="shared" ca="1" si="7"/>
        <v>-0.18855461108420002</v>
      </c>
      <c r="R60" s="31">
        <f t="shared" ca="1" si="12"/>
        <v>0</v>
      </c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</row>
    <row r="61" spans="1:49" x14ac:dyDescent="0.25">
      <c r="A61" s="3"/>
      <c r="B61" s="3"/>
      <c r="C61" s="3"/>
      <c r="D61" s="3"/>
      <c r="E61" s="3"/>
      <c r="F61" s="3"/>
      <c r="G61" s="3"/>
      <c r="H61" s="3"/>
      <c r="I61" s="3"/>
      <c r="J61" s="10">
        <v>58</v>
      </c>
      <c r="K61" s="29">
        <f t="shared" ca="1" si="1"/>
        <v>-0.26866160950341078</v>
      </c>
      <c r="L61" s="30">
        <f t="shared" ca="1" si="2"/>
        <v>-0.30073921977135198</v>
      </c>
      <c r="M61" s="30">
        <f t="shared" ca="1" si="3"/>
        <v>-0.26866160950341078</v>
      </c>
      <c r="N61" s="30">
        <f t="shared" ca="1" si="4"/>
        <v>-0.40283388801768039</v>
      </c>
      <c r="O61" s="30">
        <f t="shared" ca="1" si="5"/>
        <v>109.21342824614571</v>
      </c>
      <c r="P61" s="30">
        <f t="shared" ca="1" si="6"/>
        <v>112.74968515793758</v>
      </c>
      <c r="Q61" s="30">
        <f t="shared" ca="1" si="7"/>
        <v>-3.5362569117918667</v>
      </c>
      <c r="R61" s="31">
        <f t="shared" ca="1" si="12"/>
        <v>0</v>
      </c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</row>
    <row r="62" spans="1:49" x14ac:dyDescent="0.25">
      <c r="A62" s="3"/>
      <c r="B62" s="3"/>
      <c r="C62" s="3"/>
      <c r="D62" s="3"/>
      <c r="E62" s="3"/>
      <c r="F62" s="3"/>
      <c r="G62" s="3"/>
      <c r="H62" s="3"/>
      <c r="I62" s="3"/>
      <c r="J62" s="10">
        <v>59</v>
      </c>
      <c r="K62" s="29">
        <f t="shared" ca="1" si="1"/>
        <v>1.4094712122897772</v>
      </c>
      <c r="L62" s="30">
        <f t="shared" ca="1" si="2"/>
        <v>-1.4397557166814732</v>
      </c>
      <c r="M62" s="30">
        <f t="shared" ca="1" si="3"/>
        <v>1.4094712122897772</v>
      </c>
      <c r="N62" s="30">
        <f t="shared" ca="1" si="4"/>
        <v>-4.156139192377184E-2</v>
      </c>
      <c r="O62" s="30">
        <f t="shared" ca="1" si="5"/>
        <v>129.16844234489307</v>
      </c>
      <c r="P62" s="30">
        <f t="shared" ca="1" si="6"/>
        <v>112.74968515793758</v>
      </c>
      <c r="Q62" s="30">
        <f t="shared" ca="1" si="7"/>
        <v>16.418757186955489</v>
      </c>
      <c r="R62" s="31">
        <f t="shared" ca="1" si="12"/>
        <v>16.418757186955489</v>
      </c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</row>
    <row r="63" spans="1:49" x14ac:dyDescent="0.25">
      <c r="A63" s="3"/>
      <c r="B63" s="3"/>
      <c r="C63" s="3"/>
      <c r="D63" s="3"/>
      <c r="E63" s="3"/>
      <c r="F63" s="3"/>
      <c r="G63" s="3"/>
      <c r="H63" s="3"/>
      <c r="I63" s="3"/>
      <c r="J63" s="10">
        <v>60</v>
      </c>
      <c r="K63" s="29">
        <f t="shared" ca="1" si="1"/>
        <v>-0.33464667005817766</v>
      </c>
      <c r="L63" s="30">
        <f t="shared" ca="1" si="2"/>
        <v>-0.80542539075528319</v>
      </c>
      <c r="M63" s="30">
        <f t="shared" ca="1" si="3"/>
        <v>-0.33464667005817766</v>
      </c>
      <c r="N63" s="30">
        <f t="shared" ca="1" si="4"/>
        <v>-0.80944144730172551</v>
      </c>
      <c r="O63" s="30">
        <f t="shared" ca="1" si="5"/>
        <v>108.49515514936267</v>
      </c>
      <c r="P63" s="30">
        <f t="shared" ca="1" si="6"/>
        <v>112.74968515793758</v>
      </c>
      <c r="Q63" s="30">
        <f t="shared" ca="1" si="7"/>
        <v>-4.2545300085749034</v>
      </c>
      <c r="R63" s="31">
        <f t="shared" ca="1" si="12"/>
        <v>0</v>
      </c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</row>
    <row r="64" spans="1:49" x14ac:dyDescent="0.25">
      <c r="A64" s="3"/>
      <c r="B64" s="3"/>
      <c r="C64" s="3"/>
      <c r="D64" s="3"/>
      <c r="E64" s="3"/>
      <c r="F64" s="3"/>
      <c r="G64" s="3"/>
      <c r="H64" s="3"/>
      <c r="I64" s="3"/>
      <c r="J64" s="10">
        <v>61</v>
      </c>
      <c r="K64" s="29">
        <f t="shared" ca="1" si="1"/>
        <v>-0.24645531309074198</v>
      </c>
      <c r="L64" s="30">
        <f t="shared" ca="1" si="2"/>
        <v>-0.74211499405649894</v>
      </c>
      <c r="M64" s="30">
        <f t="shared" ca="1" si="3"/>
        <v>-0.24645531309074198</v>
      </c>
      <c r="N64" s="30">
        <f t="shared" ca="1" si="4"/>
        <v>-0.70249483074381835</v>
      </c>
      <c r="O64" s="30">
        <f t="shared" ca="1" si="5"/>
        <v>109.4562202979757</v>
      </c>
      <c r="P64" s="30">
        <f t="shared" ca="1" si="6"/>
        <v>112.74968515793758</v>
      </c>
      <c r="Q64" s="30">
        <f t="shared" ca="1" si="7"/>
        <v>-3.2934648599618725</v>
      </c>
      <c r="R64" s="31">
        <f t="shared" ca="1" si="12"/>
        <v>0</v>
      </c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</row>
    <row r="65" spans="1:49" x14ac:dyDescent="0.25">
      <c r="A65" s="3"/>
      <c r="B65" s="3"/>
      <c r="C65" s="3"/>
      <c r="D65" s="3"/>
      <c r="E65" s="3"/>
      <c r="F65" s="3"/>
      <c r="G65" s="3"/>
      <c r="H65" s="3"/>
      <c r="I65" s="3"/>
      <c r="J65" s="10">
        <v>62</v>
      </c>
      <c r="K65" s="29">
        <f t="shared" ca="1" si="1"/>
        <v>6.693294293872247E-2</v>
      </c>
      <c r="L65" s="30">
        <f t="shared" ca="1" si="2"/>
        <v>3.1346955281366857E-3</v>
      </c>
      <c r="M65" s="30">
        <f t="shared" ca="1" si="3"/>
        <v>6.693294293872247E-2</v>
      </c>
      <c r="N65" s="30">
        <f t="shared" ca="1" si="4"/>
        <v>4.9091680433051871E-2</v>
      </c>
      <c r="O65" s="30">
        <f t="shared" ca="1" si="5"/>
        <v>112.94076528824242</v>
      </c>
      <c r="P65" s="30">
        <f t="shared" ca="1" si="6"/>
        <v>112.74968515793758</v>
      </c>
      <c r="Q65" s="30">
        <f t="shared" ca="1" si="7"/>
        <v>0.19108013030484017</v>
      </c>
      <c r="R65" s="31">
        <f t="shared" ca="1" si="12"/>
        <v>0.19108013030484017</v>
      </c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</row>
    <row r="66" spans="1:49" x14ac:dyDescent="0.25">
      <c r="A66" s="3"/>
      <c r="B66" s="3"/>
      <c r="C66" s="3"/>
      <c r="D66" s="3"/>
      <c r="E66" s="3"/>
      <c r="F66" s="3"/>
      <c r="G66" s="3"/>
      <c r="H66" s="3"/>
      <c r="I66" s="3"/>
      <c r="J66" s="10">
        <v>63</v>
      </c>
      <c r="K66" s="29">
        <f t="shared" ca="1" si="1"/>
        <v>-5.215551752416539E-2</v>
      </c>
      <c r="L66" s="30">
        <f t="shared" ca="1" si="2"/>
        <v>0.20856426533082423</v>
      </c>
      <c r="M66" s="30">
        <f t="shared" ca="1" si="3"/>
        <v>-5.215551752416539E-2</v>
      </c>
      <c r="N66" s="30">
        <f t="shared" ca="1" si="4"/>
        <v>0.11243581509425443</v>
      </c>
      <c r="O66" s="30">
        <f t="shared" ca="1" si="5"/>
        <v>111.60374806953037</v>
      </c>
      <c r="P66" s="30">
        <f t="shared" ca="1" si="6"/>
        <v>112.74968515793758</v>
      </c>
      <c r="Q66" s="30">
        <f t="shared" ca="1" si="7"/>
        <v>-1.1459370884072086</v>
      </c>
      <c r="R66" s="31">
        <f t="shared" ca="1" si="12"/>
        <v>0</v>
      </c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</row>
    <row r="67" spans="1:49" x14ac:dyDescent="0.25">
      <c r="A67" s="3"/>
      <c r="B67" s="3"/>
      <c r="C67" s="3"/>
      <c r="D67" s="3"/>
      <c r="E67" s="3"/>
      <c r="F67" s="3"/>
      <c r="G67" s="3"/>
      <c r="H67" s="3"/>
      <c r="I67" s="3"/>
      <c r="J67" s="10">
        <v>64</v>
      </c>
      <c r="K67" s="29">
        <f t="shared" ca="1" si="1"/>
        <v>1.408563855791781</v>
      </c>
      <c r="L67" s="30">
        <f t="shared" ca="1" si="2"/>
        <v>-1.3976969165294975</v>
      </c>
      <c r="M67" s="30">
        <f t="shared" ca="1" si="3"/>
        <v>1.408563855791781</v>
      </c>
      <c r="N67" s="30">
        <f t="shared" ca="1" si="4"/>
        <v>-1.2160550364796907E-2</v>
      </c>
      <c r="O67" s="30">
        <f t="shared" ca="1" si="5"/>
        <v>129.15672269404638</v>
      </c>
      <c r="P67" s="30">
        <f t="shared" ca="1" si="6"/>
        <v>112.74968515793758</v>
      </c>
      <c r="Q67" s="30">
        <f t="shared" ca="1" si="7"/>
        <v>16.407037536108803</v>
      </c>
      <c r="R67" s="31">
        <f t="shared" ca="1" si="12"/>
        <v>16.407037536108803</v>
      </c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</row>
    <row r="68" spans="1:49" x14ac:dyDescent="0.25">
      <c r="A68" s="3"/>
      <c r="B68" s="3"/>
      <c r="C68" s="3"/>
      <c r="D68" s="3"/>
      <c r="E68" s="3"/>
      <c r="F68" s="3"/>
      <c r="G68" s="3"/>
      <c r="H68" s="3"/>
      <c r="I68" s="3"/>
      <c r="J68" s="10">
        <v>65</v>
      </c>
      <c r="K68" s="29">
        <f t="shared" ca="1" si="1"/>
        <v>-2.3915581356986144</v>
      </c>
      <c r="L68" s="30">
        <f t="shared" ca="1" si="2"/>
        <v>1.619203523802855</v>
      </c>
      <c r="M68" s="30">
        <f t="shared" ca="1" si="3"/>
        <v>-2.3915581356986144</v>
      </c>
      <c r="N68" s="30">
        <f t="shared" ca="1" si="4"/>
        <v>-0.51774808734078315</v>
      </c>
      <c r="O68" s="30">
        <f t="shared" ca="1" si="5"/>
        <v>88.32422090389322</v>
      </c>
      <c r="P68" s="30">
        <f t="shared" ca="1" si="6"/>
        <v>112.74968515793758</v>
      </c>
      <c r="Q68" s="30">
        <f t="shared" ca="1" si="7"/>
        <v>-24.425464254044357</v>
      </c>
      <c r="R68" s="31">
        <f t="shared" ref="R68:R103" ca="1" si="13">MAX(0,O68-P68)</f>
        <v>0</v>
      </c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</row>
    <row r="69" spans="1:49" x14ac:dyDescent="0.25">
      <c r="A69" s="3"/>
      <c r="B69" s="3"/>
      <c r="C69" s="3"/>
      <c r="D69" s="3"/>
      <c r="E69" s="3"/>
      <c r="F69" s="3"/>
      <c r="G69" s="3"/>
      <c r="H69" s="3"/>
      <c r="I69" s="3"/>
      <c r="J69" s="10">
        <v>66</v>
      </c>
      <c r="K69" s="29">
        <f t="shared" ref="K69:K103" ca="1" si="14">_xlfn.NORM.S.INV(RAND())</f>
        <v>0.69802902236635811</v>
      </c>
      <c r="L69" s="30">
        <f t="shared" ref="L69:L103" ca="1" si="15">_xlfn.NORM.S.INV(RAND())</f>
        <v>0.17506103271593795</v>
      </c>
      <c r="M69" s="30">
        <f t="shared" ref="M69:M103" ca="1" si="16">K69</f>
        <v>0.69802902236635811</v>
      </c>
      <c r="N69" s="30">
        <f t="shared" ref="N69:N103" ca="1" si="17">$B$5*K69+SQRT(1-$B$5^2)*L69</f>
        <v>0.61363889923321757</v>
      </c>
      <c r="O69" s="30">
        <f t="shared" ref="O69:O103" ca="1" si="18">$B$1*EXP(($B$7-$B$3*$B$3/2)*$B$6+$B$3*M69*SQRT($B$6))</f>
        <v>120.29813118338035</v>
      </c>
      <c r="P69" s="30">
        <f t="shared" ref="P69:P102" ca="1" si="19">$B$2*EXP(($B$7-$B$4*$B$4/2)*$B$6+$B$4*N69*SQRT($B$6))</f>
        <v>112.74968515793758</v>
      </c>
      <c r="Q69" s="30">
        <f t="shared" ref="Q69:Q103" ca="1" si="20">O69-P69</f>
        <v>7.5484460254427717</v>
      </c>
      <c r="R69" s="31">
        <f t="shared" ca="1" si="13"/>
        <v>7.5484460254427717</v>
      </c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</row>
    <row r="70" spans="1:49" x14ac:dyDescent="0.25">
      <c r="A70" s="3"/>
      <c r="B70" s="3"/>
      <c r="C70" s="3"/>
      <c r="D70" s="3"/>
      <c r="E70" s="3"/>
      <c r="F70" s="3"/>
      <c r="G70" s="3"/>
      <c r="H70" s="3"/>
      <c r="I70" s="3"/>
      <c r="J70" s="10">
        <v>67</v>
      </c>
      <c r="K70" s="29">
        <f t="shared" ca="1" si="14"/>
        <v>-1.3372397302944168</v>
      </c>
      <c r="L70" s="30">
        <f t="shared" ca="1" si="15"/>
        <v>-1.5370654688347198</v>
      </c>
      <c r="M70" s="30">
        <f t="shared" ca="1" si="16"/>
        <v>-1.3372397302944168</v>
      </c>
      <c r="N70" s="30">
        <f t="shared" ca="1" si="17"/>
        <v>-2.0337521147728728</v>
      </c>
      <c r="O70" s="30">
        <f t="shared" ca="1" si="18"/>
        <v>98.145023159164325</v>
      </c>
      <c r="P70" s="30">
        <f t="shared" ca="1" si="19"/>
        <v>112.74968515793758</v>
      </c>
      <c r="Q70" s="30">
        <f t="shared" ca="1" si="20"/>
        <v>-14.604661998773253</v>
      </c>
      <c r="R70" s="31">
        <f t="shared" ca="1" si="13"/>
        <v>0</v>
      </c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</row>
    <row r="71" spans="1:49" x14ac:dyDescent="0.25">
      <c r="A71" s="3"/>
      <c r="B71" s="3"/>
      <c r="C71" s="3"/>
      <c r="D71" s="3"/>
      <c r="E71" s="3"/>
      <c r="F71" s="3"/>
      <c r="G71" s="3"/>
      <c r="H71" s="3"/>
      <c r="I71" s="3"/>
      <c r="J71" s="10">
        <v>68</v>
      </c>
      <c r="K71" s="29">
        <f t="shared" ca="1" si="14"/>
        <v>0.26620064516366915</v>
      </c>
      <c r="L71" s="30">
        <f t="shared" ca="1" si="15"/>
        <v>-0.53448542439413971</v>
      </c>
      <c r="M71" s="30">
        <f t="shared" ca="1" si="16"/>
        <v>0.26620064516366915</v>
      </c>
      <c r="N71" s="30">
        <f t="shared" ca="1" si="17"/>
        <v>-0.19535848882644155</v>
      </c>
      <c r="O71" s="30">
        <f t="shared" ca="1" si="18"/>
        <v>115.21388269478641</v>
      </c>
      <c r="P71" s="30">
        <f t="shared" ca="1" si="19"/>
        <v>112.74968515793758</v>
      </c>
      <c r="Q71" s="30">
        <f t="shared" ca="1" si="20"/>
        <v>2.4641975368488289</v>
      </c>
      <c r="R71" s="31">
        <f t="shared" ca="1" si="13"/>
        <v>2.4641975368488289</v>
      </c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</row>
    <row r="72" spans="1:49" x14ac:dyDescent="0.25">
      <c r="A72" s="3"/>
      <c r="B72" s="3"/>
      <c r="C72" s="3"/>
      <c r="D72" s="3"/>
      <c r="E72" s="3"/>
      <c r="F72" s="3"/>
      <c r="G72" s="3"/>
      <c r="H72" s="3"/>
      <c r="I72" s="3"/>
      <c r="J72" s="10">
        <v>69</v>
      </c>
      <c r="K72" s="29">
        <f t="shared" ca="1" si="14"/>
        <v>-0.54811500974866489</v>
      </c>
      <c r="L72" s="30">
        <f t="shared" ca="1" si="15"/>
        <v>-0.10563538494959909</v>
      </c>
      <c r="M72" s="30">
        <f t="shared" ca="1" si="16"/>
        <v>-0.54811500974866489</v>
      </c>
      <c r="N72" s="30">
        <f t="shared" ca="1" si="17"/>
        <v>-0.45911926093797883</v>
      </c>
      <c r="O72" s="30">
        <f t="shared" ca="1" si="18"/>
        <v>106.20367205649457</v>
      </c>
      <c r="P72" s="30">
        <f t="shared" ca="1" si="19"/>
        <v>112.74968515793758</v>
      </c>
      <c r="Q72" s="30">
        <f t="shared" ca="1" si="20"/>
        <v>-6.546013101443009</v>
      </c>
      <c r="R72" s="31">
        <f t="shared" ca="1" si="13"/>
        <v>0</v>
      </c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</row>
    <row r="73" spans="1:49" x14ac:dyDescent="0.25">
      <c r="A73" s="3"/>
      <c r="B73" s="3"/>
      <c r="C73" s="3"/>
      <c r="D73" s="3"/>
      <c r="E73" s="3"/>
      <c r="F73" s="3"/>
      <c r="G73" s="3"/>
      <c r="H73" s="3"/>
      <c r="I73" s="3"/>
      <c r="J73" s="10">
        <v>70</v>
      </c>
      <c r="K73" s="29">
        <f t="shared" ca="1" si="14"/>
        <v>1.6128329022294186</v>
      </c>
      <c r="L73" s="30">
        <f t="shared" ca="1" si="15"/>
        <v>4.8745005734782562E-2</v>
      </c>
      <c r="M73" s="30">
        <f t="shared" ca="1" si="16"/>
        <v>1.6128329022294186</v>
      </c>
      <c r="N73" s="30">
        <f t="shared" ca="1" si="17"/>
        <v>1.1637939285309788</v>
      </c>
      <c r="O73" s="30">
        <f t="shared" ca="1" si="18"/>
        <v>131.8221250328354</v>
      </c>
      <c r="P73" s="30">
        <f t="shared" ca="1" si="19"/>
        <v>112.74968515793758</v>
      </c>
      <c r="Q73" s="30">
        <f t="shared" ca="1" si="20"/>
        <v>19.072439874897825</v>
      </c>
      <c r="R73" s="31">
        <f t="shared" ca="1" si="13"/>
        <v>19.072439874897825</v>
      </c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</row>
    <row r="74" spans="1:49" x14ac:dyDescent="0.25">
      <c r="A74" s="3"/>
      <c r="B74" s="3"/>
      <c r="C74" s="3"/>
      <c r="D74" s="3"/>
      <c r="E74" s="3"/>
      <c r="F74" s="3"/>
      <c r="G74" s="3"/>
      <c r="H74" s="3"/>
      <c r="I74" s="3"/>
      <c r="J74" s="10">
        <v>71</v>
      </c>
      <c r="K74" s="29">
        <f t="shared" ca="1" si="14"/>
        <v>1.2213321236817865</v>
      </c>
      <c r="L74" s="30">
        <f t="shared" ca="1" si="15"/>
        <v>-0.27918519837857148</v>
      </c>
      <c r="M74" s="30">
        <f t="shared" ca="1" si="16"/>
        <v>1.2213321236817865</v>
      </c>
      <c r="N74" s="30">
        <f t="shared" ca="1" si="17"/>
        <v>0.65555437532434002</v>
      </c>
      <c r="O74" s="30">
        <f t="shared" ca="1" si="18"/>
        <v>126.76099678543191</v>
      </c>
      <c r="P74" s="30">
        <f t="shared" ca="1" si="19"/>
        <v>112.74968515793758</v>
      </c>
      <c r="Q74" s="30">
        <f t="shared" ca="1" si="20"/>
        <v>14.011311627494337</v>
      </c>
      <c r="R74" s="31">
        <f t="shared" ca="1" si="13"/>
        <v>14.011311627494337</v>
      </c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</row>
    <row r="75" spans="1:49" x14ac:dyDescent="0.25">
      <c r="A75" s="3"/>
      <c r="B75" s="3"/>
      <c r="C75" s="3"/>
      <c r="D75" s="3"/>
      <c r="E75" s="3"/>
      <c r="F75" s="3"/>
      <c r="G75" s="3"/>
      <c r="H75" s="3"/>
      <c r="I75" s="3"/>
      <c r="J75" s="10">
        <v>72</v>
      </c>
      <c r="K75" s="29">
        <f t="shared" ca="1" si="14"/>
        <v>-7.7079898255446649E-3</v>
      </c>
      <c r="L75" s="30">
        <f t="shared" ca="1" si="15"/>
        <v>-1.0950899566089163</v>
      </c>
      <c r="M75" s="30">
        <f t="shared" ca="1" si="16"/>
        <v>-7.7079898255446649E-3</v>
      </c>
      <c r="N75" s="30">
        <f t="shared" ca="1" si="17"/>
        <v>-0.78744624767174831</v>
      </c>
      <c r="O75" s="30">
        <f t="shared" ca="1" si="18"/>
        <v>112.10090318520251</v>
      </c>
      <c r="P75" s="30">
        <f t="shared" ca="1" si="19"/>
        <v>112.74968515793758</v>
      </c>
      <c r="Q75" s="30">
        <f t="shared" ca="1" si="20"/>
        <v>-0.64878197273506544</v>
      </c>
      <c r="R75" s="31">
        <f t="shared" ca="1" si="13"/>
        <v>0</v>
      </c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</row>
    <row r="76" spans="1:49" x14ac:dyDescent="0.25">
      <c r="A76" s="3"/>
      <c r="B76" s="3"/>
      <c r="C76" s="3"/>
      <c r="D76" s="3"/>
      <c r="E76" s="3"/>
      <c r="F76" s="3"/>
      <c r="G76" s="3"/>
      <c r="H76" s="3"/>
      <c r="I76" s="3"/>
      <c r="J76" s="10">
        <v>73</v>
      </c>
      <c r="K76" s="29">
        <f t="shared" ca="1" si="14"/>
        <v>-0.50176325521071286</v>
      </c>
      <c r="L76" s="30">
        <f t="shared" ca="1" si="15"/>
        <v>-0.40715790703418803</v>
      </c>
      <c r="M76" s="30">
        <f t="shared" ca="1" si="16"/>
        <v>-0.50176325521071286</v>
      </c>
      <c r="N76" s="30">
        <f t="shared" ca="1" si="17"/>
        <v>-0.64200318386749466</v>
      </c>
      <c r="O76" s="30">
        <f t="shared" ca="1" si="18"/>
        <v>106.6970873601532</v>
      </c>
      <c r="P76" s="30">
        <f t="shared" ca="1" si="19"/>
        <v>112.74968515793758</v>
      </c>
      <c r="Q76" s="30">
        <f t="shared" ca="1" si="20"/>
        <v>-6.0525977977843723</v>
      </c>
      <c r="R76" s="31">
        <f t="shared" ca="1" si="13"/>
        <v>0</v>
      </c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</row>
    <row r="77" spans="1:49" x14ac:dyDescent="0.25">
      <c r="A77" s="3"/>
      <c r="B77" s="3"/>
      <c r="C77" s="3"/>
      <c r="D77" s="3"/>
      <c r="E77" s="3"/>
      <c r="F77" s="3"/>
      <c r="G77" s="3"/>
      <c r="H77" s="3"/>
      <c r="I77" s="3"/>
      <c r="J77" s="10">
        <v>74</v>
      </c>
      <c r="K77" s="29">
        <f t="shared" ca="1" si="14"/>
        <v>2.2073439807177868</v>
      </c>
      <c r="L77" s="30">
        <f t="shared" ca="1" si="15"/>
        <v>4.0681064507119731E-2</v>
      </c>
      <c r="M77" s="30">
        <f t="shared" ca="1" si="16"/>
        <v>2.2073439807177868</v>
      </c>
      <c r="N77" s="30">
        <f t="shared" ca="1" si="17"/>
        <v>1.5741928775599037</v>
      </c>
      <c r="O77" s="30">
        <f t="shared" ca="1" si="18"/>
        <v>139.89674070210907</v>
      </c>
      <c r="P77" s="30">
        <f t="shared" ca="1" si="19"/>
        <v>112.74968515793758</v>
      </c>
      <c r="Q77" s="30">
        <f t="shared" ca="1" si="20"/>
        <v>27.147055544171494</v>
      </c>
      <c r="R77" s="31">
        <f t="shared" ca="1" si="13"/>
        <v>27.147055544171494</v>
      </c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</row>
    <row r="78" spans="1:49" x14ac:dyDescent="0.25">
      <c r="A78" s="3"/>
      <c r="B78" s="3"/>
      <c r="C78" s="3"/>
      <c r="D78" s="3"/>
      <c r="E78" s="3"/>
      <c r="F78" s="3"/>
      <c r="G78" s="3"/>
      <c r="H78" s="3"/>
      <c r="I78" s="3"/>
      <c r="J78" s="10">
        <v>75</v>
      </c>
      <c r="K78" s="29">
        <f t="shared" ca="1" si="14"/>
        <v>-1.032963036080272</v>
      </c>
      <c r="L78" s="30">
        <f t="shared" ca="1" si="15"/>
        <v>-2.3109115480466995</v>
      </c>
      <c r="M78" s="30">
        <f t="shared" ca="1" si="16"/>
        <v>-1.032963036080272</v>
      </c>
      <c r="N78" s="30">
        <f t="shared" ca="1" si="17"/>
        <v>-2.3733950677630569</v>
      </c>
      <c r="O78" s="30">
        <f t="shared" ca="1" si="18"/>
        <v>101.1772452618777</v>
      </c>
      <c r="P78" s="30">
        <f t="shared" ca="1" si="19"/>
        <v>112.74968515793758</v>
      </c>
      <c r="Q78" s="30">
        <f t="shared" ca="1" si="20"/>
        <v>-11.572439896059876</v>
      </c>
      <c r="R78" s="31">
        <f t="shared" ca="1" si="13"/>
        <v>0</v>
      </c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</row>
    <row r="79" spans="1:49" x14ac:dyDescent="0.25">
      <c r="A79" s="3"/>
      <c r="B79" s="3"/>
      <c r="C79" s="3"/>
      <c r="D79" s="3"/>
      <c r="E79" s="3"/>
      <c r="F79" s="3"/>
      <c r="G79" s="3"/>
      <c r="H79" s="3"/>
      <c r="I79" s="3"/>
      <c r="J79" s="10">
        <v>76</v>
      </c>
      <c r="K79" s="29">
        <f t="shared" ca="1" si="14"/>
        <v>2.0780629045455004</v>
      </c>
      <c r="L79" s="30">
        <f t="shared" ca="1" si="15"/>
        <v>0.76799907550947599</v>
      </c>
      <c r="M79" s="30">
        <f t="shared" ca="1" si="16"/>
        <v>2.0780629045455004</v>
      </c>
      <c r="N79" s="30">
        <f t="shared" ca="1" si="17"/>
        <v>2.0031050762756499</v>
      </c>
      <c r="O79" s="30">
        <f t="shared" ca="1" si="18"/>
        <v>138.0997812535565</v>
      </c>
      <c r="P79" s="30">
        <f t="shared" ca="1" si="19"/>
        <v>112.74968515793758</v>
      </c>
      <c r="Q79" s="30">
        <f t="shared" ca="1" si="20"/>
        <v>25.350096095618923</v>
      </c>
      <c r="R79" s="31">
        <f t="shared" ca="1" si="13"/>
        <v>25.350096095618923</v>
      </c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</row>
    <row r="80" spans="1:49" x14ac:dyDescent="0.25">
      <c r="A80" s="3"/>
      <c r="B80" s="3"/>
      <c r="C80" s="3"/>
      <c r="D80" s="3"/>
      <c r="E80" s="3"/>
      <c r="F80" s="3"/>
      <c r="G80" s="3"/>
      <c r="H80" s="3"/>
      <c r="I80" s="3"/>
      <c r="J80" s="10">
        <v>77</v>
      </c>
      <c r="K80" s="29">
        <f t="shared" ca="1" si="14"/>
        <v>0.56300371447917608</v>
      </c>
      <c r="L80" s="30">
        <f t="shared" ca="1" si="15"/>
        <v>1.9928982469865499</v>
      </c>
      <c r="M80" s="30">
        <f t="shared" ca="1" si="16"/>
        <v>0.56300371447917608</v>
      </c>
      <c r="N80" s="30">
        <f t="shared" ca="1" si="17"/>
        <v>1.8173166197577191</v>
      </c>
      <c r="O80" s="30">
        <f t="shared" ca="1" si="18"/>
        <v>118.68471904956772</v>
      </c>
      <c r="P80" s="30">
        <f t="shared" ca="1" si="19"/>
        <v>112.74968515793758</v>
      </c>
      <c r="Q80" s="30">
        <f t="shared" ca="1" si="20"/>
        <v>5.9350338916301411</v>
      </c>
      <c r="R80" s="31">
        <f t="shared" ca="1" si="13"/>
        <v>5.9350338916301411</v>
      </c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</row>
    <row r="81" spans="1:49" x14ac:dyDescent="0.25">
      <c r="A81" s="3"/>
      <c r="B81" s="3"/>
      <c r="C81" s="3"/>
      <c r="D81" s="3"/>
      <c r="E81" s="3"/>
      <c r="F81" s="3"/>
      <c r="G81" s="3"/>
      <c r="H81" s="3"/>
      <c r="I81" s="3"/>
      <c r="J81" s="10">
        <v>78</v>
      </c>
      <c r="K81" s="29">
        <f t="shared" ca="1" si="14"/>
        <v>0.5948901768438889</v>
      </c>
      <c r="L81" s="30">
        <f t="shared" ca="1" si="15"/>
        <v>-0.33702453402133509</v>
      </c>
      <c r="M81" s="30">
        <f t="shared" ca="1" si="16"/>
        <v>0.5948901768438889</v>
      </c>
      <c r="N81" s="30">
        <f t="shared" ca="1" si="17"/>
        <v>0.17573946495308529</v>
      </c>
      <c r="O81" s="30">
        <f t="shared" ca="1" si="18"/>
        <v>119.06376663545817</v>
      </c>
      <c r="P81" s="30">
        <f t="shared" ca="1" si="19"/>
        <v>112.74968515793758</v>
      </c>
      <c r="Q81" s="30">
        <f t="shared" ca="1" si="20"/>
        <v>6.3140814775205882</v>
      </c>
      <c r="R81" s="31">
        <f t="shared" ca="1" si="13"/>
        <v>6.3140814775205882</v>
      </c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</row>
    <row r="82" spans="1:49" x14ac:dyDescent="0.25">
      <c r="A82" s="3"/>
      <c r="B82" s="3"/>
      <c r="C82" s="3"/>
      <c r="D82" s="3"/>
      <c r="E82" s="3"/>
      <c r="F82" s="3"/>
      <c r="G82" s="3"/>
      <c r="H82" s="3"/>
      <c r="I82" s="3"/>
      <c r="J82" s="10">
        <v>79</v>
      </c>
      <c r="K82" s="29">
        <f t="shared" ca="1" si="14"/>
        <v>-0.5287543390925733</v>
      </c>
      <c r="L82" s="30">
        <f t="shared" ca="1" si="15"/>
        <v>0.37634475935371126</v>
      </c>
      <c r="M82" s="30">
        <f t="shared" ca="1" si="16"/>
        <v>-0.5287543390925733</v>
      </c>
      <c r="N82" s="30">
        <f t="shared" ca="1" si="17"/>
        <v>-0.10136412102663017</v>
      </c>
      <c r="O82" s="30">
        <f t="shared" ca="1" si="18"/>
        <v>106.40948866129547</v>
      </c>
      <c r="P82" s="30">
        <f t="shared" ca="1" si="19"/>
        <v>112.74968515793758</v>
      </c>
      <c r="Q82" s="30">
        <f t="shared" ca="1" si="20"/>
        <v>-6.3401964966421076</v>
      </c>
      <c r="R82" s="31">
        <f t="shared" ca="1" si="13"/>
        <v>0</v>
      </c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</row>
    <row r="83" spans="1:49" x14ac:dyDescent="0.25">
      <c r="A83" s="3"/>
      <c r="B83" s="3"/>
      <c r="C83" s="3"/>
      <c r="D83" s="3"/>
      <c r="E83" s="3"/>
      <c r="F83" s="3"/>
      <c r="G83" s="3"/>
      <c r="H83" s="3"/>
      <c r="I83" s="3"/>
      <c r="J83" s="10">
        <v>80</v>
      </c>
      <c r="K83" s="29">
        <f t="shared" ca="1" si="14"/>
        <v>-5.9672637432156186E-2</v>
      </c>
      <c r="L83" s="30">
        <f t="shared" ca="1" si="15"/>
        <v>0.52575047409192743</v>
      </c>
      <c r="M83" s="30">
        <f t="shared" ca="1" si="16"/>
        <v>-5.9672637432156186E-2</v>
      </c>
      <c r="N83" s="30">
        <f t="shared" ca="1" si="17"/>
        <v>0.33369009199748784</v>
      </c>
      <c r="O83" s="30">
        <f t="shared" ca="1" si="18"/>
        <v>111.51988571800501</v>
      </c>
      <c r="P83" s="30">
        <f t="shared" ca="1" si="19"/>
        <v>112.74968515793758</v>
      </c>
      <c r="Q83" s="30">
        <f t="shared" ca="1" si="20"/>
        <v>-1.2297994399325631</v>
      </c>
      <c r="R83" s="31">
        <f t="shared" ca="1" si="13"/>
        <v>0</v>
      </c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</row>
    <row r="84" spans="1:49" x14ac:dyDescent="0.25">
      <c r="A84" s="3"/>
      <c r="B84" s="3"/>
      <c r="C84" s="3"/>
      <c r="D84" s="3"/>
      <c r="E84" s="3"/>
      <c r="F84" s="3"/>
      <c r="G84" s="3"/>
      <c r="H84" s="3"/>
      <c r="I84" s="3"/>
      <c r="J84" s="10">
        <v>81</v>
      </c>
      <c r="K84" s="29">
        <f t="shared" ca="1" si="14"/>
        <v>0.7687891586267015</v>
      </c>
      <c r="L84" s="30">
        <f t="shared" ca="1" si="15"/>
        <v>9.364404746433154E-2</v>
      </c>
      <c r="M84" s="30">
        <f t="shared" ca="1" si="16"/>
        <v>0.7687891586267015</v>
      </c>
      <c r="N84" s="30">
        <f t="shared" ca="1" si="17"/>
        <v>0.60502763731125042</v>
      </c>
      <c r="O84" s="30">
        <f t="shared" ca="1" si="18"/>
        <v>121.15238117676412</v>
      </c>
      <c r="P84" s="30">
        <f t="shared" ca="1" si="19"/>
        <v>112.74968515793758</v>
      </c>
      <c r="Q84" s="30">
        <f t="shared" ca="1" si="20"/>
        <v>8.4026960188265463</v>
      </c>
      <c r="R84" s="31">
        <f t="shared" ca="1" si="13"/>
        <v>8.4026960188265463</v>
      </c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</row>
    <row r="85" spans="1:49" x14ac:dyDescent="0.25">
      <c r="A85" s="3"/>
      <c r="B85" s="3"/>
      <c r="C85" s="3"/>
      <c r="D85" s="3"/>
      <c r="E85" s="3"/>
      <c r="F85" s="3"/>
      <c r="G85" s="3"/>
      <c r="H85" s="3"/>
      <c r="I85" s="3"/>
      <c r="J85" s="10">
        <v>82</v>
      </c>
      <c r="K85" s="29">
        <f t="shared" ca="1" si="14"/>
        <v>0.56728473392643586</v>
      </c>
      <c r="L85" s="30">
        <f t="shared" ca="1" si="15"/>
        <v>0.47630149306741776</v>
      </c>
      <c r="M85" s="30">
        <f t="shared" ca="1" si="16"/>
        <v>0.56728473392643586</v>
      </c>
      <c r="N85" s="30">
        <f t="shared" ca="1" si="17"/>
        <v>0.73724661606341135</v>
      </c>
      <c r="O85" s="30">
        <f t="shared" ca="1" si="18"/>
        <v>118.73553908590412</v>
      </c>
      <c r="P85" s="30">
        <f t="shared" ca="1" si="19"/>
        <v>112.74968515793758</v>
      </c>
      <c r="Q85" s="30">
        <f t="shared" ca="1" si="20"/>
        <v>5.985853927966545</v>
      </c>
      <c r="R85" s="31">
        <f t="shared" ca="1" si="13"/>
        <v>5.985853927966545</v>
      </c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</row>
    <row r="86" spans="1:49" x14ac:dyDescent="0.25">
      <c r="A86" s="3"/>
      <c r="B86" s="3"/>
      <c r="C86" s="3"/>
      <c r="D86" s="3"/>
      <c r="E86" s="3"/>
      <c r="F86" s="3"/>
      <c r="G86" s="3"/>
      <c r="H86" s="3"/>
      <c r="I86" s="3"/>
      <c r="J86" s="10">
        <v>83</v>
      </c>
      <c r="K86" s="29">
        <f t="shared" ca="1" si="14"/>
        <v>-0.33996508920932778</v>
      </c>
      <c r="L86" s="30">
        <f t="shared" ca="1" si="15"/>
        <v>-0.99011793666895953</v>
      </c>
      <c r="M86" s="30">
        <f t="shared" ca="1" si="16"/>
        <v>-0.33996508920932778</v>
      </c>
      <c r="N86" s="30">
        <f t="shared" ca="1" si="17"/>
        <v>-0.94506120050031905</v>
      </c>
      <c r="O86" s="30">
        <f t="shared" ca="1" si="18"/>
        <v>108.43746821979063</v>
      </c>
      <c r="P86" s="30">
        <f t="shared" ca="1" si="19"/>
        <v>112.74968515793758</v>
      </c>
      <c r="Q86" s="30">
        <f t="shared" ca="1" si="20"/>
        <v>-4.3122169381469462</v>
      </c>
      <c r="R86" s="31">
        <f t="shared" ca="1" si="13"/>
        <v>0</v>
      </c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</row>
    <row r="87" spans="1:49" x14ac:dyDescent="0.25">
      <c r="A87" s="3"/>
      <c r="B87" s="3"/>
      <c r="C87" s="3"/>
      <c r="D87" s="3"/>
      <c r="E87" s="3"/>
      <c r="F87" s="3"/>
      <c r="G87" s="3"/>
      <c r="H87" s="3"/>
      <c r="I87" s="3"/>
      <c r="J87" s="10">
        <v>84</v>
      </c>
      <c r="K87" s="29">
        <f t="shared" ca="1" si="14"/>
        <v>1.2894887685747354</v>
      </c>
      <c r="L87" s="30">
        <f t="shared" ca="1" si="15"/>
        <v>0.86151134472701074</v>
      </c>
      <c r="M87" s="30">
        <f t="shared" ca="1" si="16"/>
        <v>1.2894887685747354</v>
      </c>
      <c r="N87" s="30">
        <f t="shared" ca="1" si="17"/>
        <v>1.5178842988768801</v>
      </c>
      <c r="O87" s="30">
        <f t="shared" ca="1" si="18"/>
        <v>127.6279081424217</v>
      </c>
      <c r="P87" s="30">
        <f t="shared" ca="1" si="19"/>
        <v>112.74968515793758</v>
      </c>
      <c r="Q87" s="30">
        <f t="shared" ca="1" si="20"/>
        <v>14.878222984484125</v>
      </c>
      <c r="R87" s="31">
        <f t="shared" ca="1" si="13"/>
        <v>14.878222984484125</v>
      </c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</row>
    <row r="88" spans="1:49" x14ac:dyDescent="0.25">
      <c r="A88" s="3"/>
      <c r="B88" s="3"/>
      <c r="C88" s="3"/>
      <c r="D88" s="3"/>
      <c r="E88" s="3"/>
      <c r="F88" s="3"/>
      <c r="G88" s="3"/>
      <c r="H88" s="3"/>
      <c r="I88" s="3"/>
      <c r="J88" s="10">
        <v>85</v>
      </c>
      <c r="K88" s="29">
        <f t="shared" ca="1" si="14"/>
        <v>-0.11649764447554006</v>
      </c>
      <c r="L88" s="30">
        <f t="shared" ca="1" si="15"/>
        <v>-0.2980695820735198</v>
      </c>
      <c r="M88" s="30">
        <f t="shared" ca="1" si="16"/>
        <v>-0.11649764447554006</v>
      </c>
      <c r="N88" s="30">
        <f t="shared" ca="1" si="17"/>
        <v>-0.29441260984325007</v>
      </c>
      <c r="O88" s="30">
        <f t="shared" ca="1" si="18"/>
        <v>110.88797101715018</v>
      </c>
      <c r="P88" s="30">
        <f t="shared" ca="1" si="19"/>
        <v>112.74968515793758</v>
      </c>
      <c r="Q88" s="30">
        <f t="shared" ca="1" si="20"/>
        <v>-1.8617141407873987</v>
      </c>
      <c r="R88" s="31">
        <f t="shared" ca="1" si="13"/>
        <v>0</v>
      </c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</row>
    <row r="89" spans="1:49" x14ac:dyDescent="0.25">
      <c r="A89" s="3"/>
      <c r="B89" s="3"/>
      <c r="C89" s="3"/>
      <c r="D89" s="3"/>
      <c r="E89" s="3"/>
      <c r="F89" s="3"/>
      <c r="G89" s="3"/>
      <c r="H89" s="3"/>
      <c r="I89" s="3"/>
      <c r="J89" s="10">
        <v>86</v>
      </c>
      <c r="K89" s="29">
        <f t="shared" ca="1" si="14"/>
        <v>-0.82177668630928302</v>
      </c>
      <c r="L89" s="30">
        <f t="shared" ca="1" si="15"/>
        <v>1.3118886800067113</v>
      </c>
      <c r="M89" s="30">
        <f t="shared" ca="1" si="16"/>
        <v>-0.82177668630928302</v>
      </c>
      <c r="N89" s="30">
        <f t="shared" ca="1" si="17"/>
        <v>0.36163223103185005</v>
      </c>
      <c r="O89" s="30">
        <f t="shared" ca="1" si="18"/>
        <v>103.33669260436389</v>
      </c>
      <c r="P89" s="30">
        <f t="shared" ca="1" si="19"/>
        <v>112.74968515793758</v>
      </c>
      <c r="Q89" s="30">
        <f t="shared" ca="1" si="20"/>
        <v>-9.4129925535736874</v>
      </c>
      <c r="R89" s="31">
        <f t="shared" ca="1" si="13"/>
        <v>0</v>
      </c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</row>
    <row r="90" spans="1:49" x14ac:dyDescent="0.25">
      <c r="A90" s="3"/>
      <c r="B90" s="3"/>
      <c r="C90" s="3"/>
      <c r="D90" s="3"/>
      <c r="E90" s="3"/>
      <c r="F90" s="3"/>
      <c r="G90" s="3"/>
      <c r="H90" s="3"/>
      <c r="I90" s="3"/>
      <c r="J90" s="10">
        <v>87</v>
      </c>
      <c r="K90" s="29">
        <f t="shared" ca="1" si="14"/>
        <v>-2.2080629301918462</v>
      </c>
      <c r="L90" s="30">
        <f t="shared" ca="1" si="15"/>
        <v>2.7323757358432386</v>
      </c>
      <c r="M90" s="30">
        <f t="shared" ca="1" si="16"/>
        <v>-2.2080629301918462</v>
      </c>
      <c r="N90" s="30">
        <f t="shared" ca="1" si="17"/>
        <v>0.40566252460686703</v>
      </c>
      <c r="O90" s="30">
        <f t="shared" ca="1" si="18"/>
        <v>89.959888978434648</v>
      </c>
      <c r="P90" s="30">
        <f t="shared" ca="1" si="19"/>
        <v>112.74968515793758</v>
      </c>
      <c r="Q90" s="30">
        <f t="shared" ca="1" si="20"/>
        <v>-22.789796179502929</v>
      </c>
      <c r="R90" s="31">
        <f t="shared" ca="1" si="13"/>
        <v>0</v>
      </c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</row>
    <row r="91" spans="1:49" x14ac:dyDescent="0.25">
      <c r="A91" s="3"/>
      <c r="B91" s="3"/>
      <c r="C91" s="3"/>
      <c r="D91" s="3"/>
      <c r="E91" s="3"/>
      <c r="F91" s="3"/>
      <c r="G91" s="3"/>
      <c r="H91" s="3"/>
      <c r="I91" s="3"/>
      <c r="J91" s="10">
        <v>88</v>
      </c>
      <c r="K91" s="29">
        <f t="shared" ca="1" si="14"/>
        <v>-0.54222056874450819</v>
      </c>
      <c r="L91" s="30">
        <f t="shared" ca="1" si="15"/>
        <v>1.1927965818743858</v>
      </c>
      <c r="M91" s="30">
        <f t="shared" ca="1" si="16"/>
        <v>-0.54222056874450819</v>
      </c>
      <c r="N91" s="30">
        <f t="shared" ca="1" si="17"/>
        <v>0.47227274380549206</v>
      </c>
      <c r="O91" s="30">
        <f t="shared" ca="1" si="18"/>
        <v>106.26629163798911</v>
      </c>
      <c r="P91" s="30">
        <f t="shared" ca="1" si="19"/>
        <v>112.74968515793758</v>
      </c>
      <c r="Q91" s="30">
        <f t="shared" ca="1" si="20"/>
        <v>-6.4833935199484642</v>
      </c>
      <c r="R91" s="31">
        <f t="shared" ca="1" si="13"/>
        <v>0</v>
      </c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</row>
    <row r="92" spans="1:49" x14ac:dyDescent="0.25">
      <c r="A92" s="3"/>
      <c r="B92" s="3"/>
      <c r="C92" s="3"/>
      <c r="D92" s="3"/>
      <c r="E92" s="3"/>
      <c r="F92" s="3"/>
      <c r="G92" s="3"/>
      <c r="H92" s="3"/>
      <c r="I92" s="3"/>
      <c r="J92" s="10">
        <v>89</v>
      </c>
      <c r="K92" s="29">
        <f t="shared" ca="1" si="14"/>
        <v>-1.8005302278501261</v>
      </c>
      <c r="L92" s="30">
        <f t="shared" ca="1" si="15"/>
        <v>9.898885442248706E-2</v>
      </c>
      <c r="M92" s="30">
        <f t="shared" ca="1" si="16"/>
        <v>-1.8005302278501261</v>
      </c>
      <c r="N92" s="30">
        <f t="shared" ca="1" si="17"/>
        <v>-1.1896789775869243</v>
      </c>
      <c r="O92" s="30">
        <f t="shared" ca="1" si="18"/>
        <v>93.701777876797038</v>
      </c>
      <c r="P92" s="30">
        <f t="shared" ca="1" si="19"/>
        <v>112.74968515793758</v>
      </c>
      <c r="Q92" s="30">
        <f t="shared" ca="1" si="20"/>
        <v>-19.047907281140539</v>
      </c>
      <c r="R92" s="31">
        <f t="shared" ca="1" si="13"/>
        <v>0</v>
      </c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</row>
    <row r="93" spans="1:49" x14ac:dyDescent="0.25">
      <c r="A93" s="3"/>
      <c r="B93" s="3"/>
      <c r="C93" s="3"/>
      <c r="D93" s="3"/>
      <c r="E93" s="3"/>
      <c r="F93" s="3"/>
      <c r="G93" s="3"/>
      <c r="H93" s="3"/>
      <c r="I93" s="3"/>
      <c r="J93" s="10">
        <v>90</v>
      </c>
      <c r="K93" s="29">
        <f t="shared" ca="1" si="14"/>
        <v>-1.3459437215091627</v>
      </c>
      <c r="L93" s="30">
        <f t="shared" ca="1" si="15"/>
        <v>-0.39373394976331844</v>
      </c>
      <c r="M93" s="30">
        <f t="shared" ca="1" si="16"/>
        <v>-1.3459437215091627</v>
      </c>
      <c r="N93" s="30">
        <f t="shared" ca="1" si="17"/>
        <v>-1.2233428872686363</v>
      </c>
      <c r="O93" s="30">
        <f t="shared" ca="1" si="18"/>
        <v>98.05963498351683</v>
      </c>
      <c r="P93" s="30">
        <f t="shared" ca="1" si="19"/>
        <v>112.74968515793758</v>
      </c>
      <c r="Q93" s="30">
        <f t="shared" ca="1" si="20"/>
        <v>-14.690050174420747</v>
      </c>
      <c r="R93" s="31">
        <f t="shared" ca="1" si="13"/>
        <v>0</v>
      </c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</row>
    <row r="94" spans="1:49" x14ac:dyDescent="0.25">
      <c r="A94" s="3"/>
      <c r="B94" s="3"/>
      <c r="C94" s="3"/>
      <c r="D94" s="3"/>
      <c r="E94" s="3"/>
      <c r="F94" s="3"/>
      <c r="G94" s="3"/>
      <c r="H94" s="3"/>
      <c r="I94" s="3"/>
      <c r="J94" s="10">
        <v>91</v>
      </c>
      <c r="K94" s="29">
        <f t="shared" ca="1" si="14"/>
        <v>-0.3561447024989719</v>
      </c>
      <c r="L94" s="30">
        <f t="shared" ca="1" si="15"/>
        <v>0.42396163389044961</v>
      </c>
      <c r="M94" s="30">
        <f t="shared" ca="1" si="16"/>
        <v>-0.3561447024989719</v>
      </c>
      <c r="N94" s="30">
        <f t="shared" ca="1" si="17"/>
        <v>5.3467874738392956E-2</v>
      </c>
      <c r="O94" s="30">
        <f t="shared" ca="1" si="18"/>
        <v>108.26216244682385</v>
      </c>
      <c r="P94" s="30">
        <f t="shared" ca="1" si="19"/>
        <v>112.74968515793758</v>
      </c>
      <c r="Q94" s="30">
        <f t="shared" ca="1" si="20"/>
        <v>-4.4875227111137264</v>
      </c>
      <c r="R94" s="31">
        <f t="shared" ca="1" si="13"/>
        <v>0</v>
      </c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</row>
    <row r="95" spans="1:49" x14ac:dyDescent="0.25">
      <c r="A95" s="3"/>
      <c r="B95" s="3"/>
      <c r="C95" s="3"/>
      <c r="D95" s="3"/>
      <c r="E95" s="3"/>
      <c r="F95" s="3"/>
      <c r="G95" s="3"/>
      <c r="H95" s="3"/>
      <c r="I95" s="3"/>
      <c r="J95" s="10">
        <v>92</v>
      </c>
      <c r="K95" s="29">
        <f t="shared" ca="1" si="14"/>
        <v>-2.3867076594361647</v>
      </c>
      <c r="L95" s="30">
        <f t="shared" ca="1" si="15"/>
        <v>-0.45663129670360658</v>
      </c>
      <c r="M95" s="30">
        <f t="shared" ca="1" si="16"/>
        <v>-2.3867076594361647</v>
      </c>
      <c r="N95" s="30">
        <f t="shared" ca="1" si="17"/>
        <v>-1.9967953339694673</v>
      </c>
      <c r="O95" s="30">
        <f t="shared" ca="1" si="18"/>
        <v>88.367072749335392</v>
      </c>
      <c r="P95" s="30">
        <f t="shared" ca="1" si="19"/>
        <v>112.74968515793758</v>
      </c>
      <c r="Q95" s="30">
        <f t="shared" ca="1" si="20"/>
        <v>-24.382612408602185</v>
      </c>
      <c r="R95" s="31">
        <f t="shared" ca="1" si="13"/>
        <v>0</v>
      </c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</row>
    <row r="96" spans="1:49" x14ac:dyDescent="0.25">
      <c r="A96" s="3"/>
      <c r="B96" s="3"/>
      <c r="C96" s="3"/>
      <c r="D96" s="3"/>
      <c r="E96" s="3"/>
      <c r="F96" s="3"/>
      <c r="G96" s="3"/>
      <c r="H96" s="3"/>
      <c r="I96" s="3"/>
      <c r="J96" s="10">
        <v>93</v>
      </c>
      <c r="K96" s="29">
        <f t="shared" ca="1" si="14"/>
        <v>-0.34638598818935784</v>
      </c>
      <c r="L96" s="30">
        <f t="shared" ca="1" si="15"/>
        <v>1.276722798295715</v>
      </c>
      <c r="M96" s="30">
        <f t="shared" ca="1" si="16"/>
        <v>-0.34638598818935784</v>
      </c>
      <c r="N96" s="30">
        <f t="shared" ca="1" si="17"/>
        <v>0.66929225697922934</v>
      </c>
      <c r="O96" s="30">
        <f t="shared" ca="1" si="18"/>
        <v>108.36786396536738</v>
      </c>
      <c r="P96" s="30">
        <f t="shared" ca="1" si="19"/>
        <v>112.74968515793758</v>
      </c>
      <c r="Q96" s="30">
        <f t="shared" ca="1" si="20"/>
        <v>-4.3818211925702002</v>
      </c>
      <c r="R96" s="31">
        <f t="shared" ca="1" si="13"/>
        <v>0</v>
      </c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</row>
    <row r="97" spans="1:49" x14ac:dyDescent="0.25">
      <c r="A97" s="3"/>
      <c r="B97" s="3"/>
      <c r="C97" s="3"/>
      <c r="D97" s="3"/>
      <c r="E97" s="3"/>
      <c r="F97" s="3"/>
      <c r="G97" s="3"/>
      <c r="H97" s="3"/>
      <c r="I97" s="3"/>
      <c r="J97" s="10">
        <v>94</v>
      </c>
      <c r="K97" s="29">
        <f t="shared" ca="1" si="14"/>
        <v>-0.38837259269311036</v>
      </c>
      <c r="L97" s="30">
        <f t="shared" ca="1" si="15"/>
        <v>0.79316042337030601</v>
      </c>
      <c r="M97" s="30">
        <f t="shared" ca="1" si="16"/>
        <v>-0.38837259269311036</v>
      </c>
      <c r="N97" s="30">
        <f t="shared" ca="1" si="17"/>
        <v>0.29456902470000135</v>
      </c>
      <c r="O97" s="30">
        <f t="shared" ca="1" si="18"/>
        <v>107.91381796036801</v>
      </c>
      <c r="P97" s="30">
        <f t="shared" ca="1" si="19"/>
        <v>112.74968515793758</v>
      </c>
      <c r="Q97" s="30">
        <f t="shared" ca="1" si="20"/>
        <v>-4.83586719756957</v>
      </c>
      <c r="R97" s="31">
        <f t="shared" ca="1" si="13"/>
        <v>0</v>
      </c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</row>
    <row r="98" spans="1:49" x14ac:dyDescent="0.25">
      <c r="A98" s="3"/>
      <c r="B98" s="3"/>
      <c r="C98" s="3"/>
      <c r="D98" s="3"/>
      <c r="E98" s="3"/>
      <c r="F98" s="3"/>
      <c r="G98" s="3"/>
      <c r="H98" s="3"/>
      <c r="I98" s="3"/>
      <c r="J98" s="10">
        <v>95</v>
      </c>
      <c r="K98" s="29">
        <f t="shared" ca="1" si="14"/>
        <v>-1.5838233755543392</v>
      </c>
      <c r="L98" s="30">
        <f t="shared" ca="1" si="15"/>
        <v>-0.24701894948649916</v>
      </c>
      <c r="M98" s="30">
        <f t="shared" ca="1" si="16"/>
        <v>-1.5838233755543392</v>
      </c>
      <c r="N98" s="30">
        <f t="shared" ca="1" si="17"/>
        <v>-1.285083177713205</v>
      </c>
      <c r="O98" s="30">
        <f t="shared" ca="1" si="18"/>
        <v>95.754521457361236</v>
      </c>
      <c r="P98" s="30">
        <f t="shared" ca="1" si="19"/>
        <v>112.74968515793758</v>
      </c>
      <c r="Q98" s="30">
        <f t="shared" ca="1" si="20"/>
        <v>-16.995163700576342</v>
      </c>
      <c r="R98" s="31">
        <f t="shared" ca="1" si="13"/>
        <v>0</v>
      </c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</row>
    <row r="99" spans="1:49" x14ac:dyDescent="0.25">
      <c r="A99" s="3"/>
      <c r="B99" s="3"/>
      <c r="C99" s="3"/>
      <c r="D99" s="3"/>
      <c r="E99" s="3"/>
      <c r="F99" s="3"/>
      <c r="G99" s="3"/>
      <c r="H99" s="3"/>
      <c r="I99" s="3"/>
      <c r="J99" s="10">
        <v>96</v>
      </c>
      <c r="K99" s="29">
        <f t="shared" ca="1" si="14"/>
        <v>0.10914799418115596</v>
      </c>
      <c r="L99" s="30">
        <f t="shared" ca="1" si="15"/>
        <v>1.1954984109539764</v>
      </c>
      <c r="M99" s="30">
        <f t="shared" ca="1" si="16"/>
        <v>0.10914799418115596</v>
      </c>
      <c r="N99" s="30">
        <f t="shared" ca="1" si="17"/>
        <v>0.93016022975326207</v>
      </c>
      <c r="O99" s="30">
        <f t="shared" ca="1" si="18"/>
        <v>113.41855308991053</v>
      </c>
      <c r="P99" s="30">
        <f t="shared" ca="1" si="19"/>
        <v>112.74968515793758</v>
      </c>
      <c r="Q99" s="30">
        <f t="shared" ca="1" si="20"/>
        <v>0.66886793197295447</v>
      </c>
      <c r="R99" s="31">
        <f t="shared" ca="1" si="13"/>
        <v>0.66886793197295447</v>
      </c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</row>
    <row r="100" spans="1:49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10">
        <v>97</v>
      </c>
      <c r="K100" s="29">
        <f t="shared" ca="1" si="14"/>
        <v>0.91013390390203741</v>
      </c>
      <c r="L100" s="30">
        <f t="shared" ca="1" si="15"/>
        <v>1.4818157211190122</v>
      </c>
      <c r="M100" s="30">
        <f t="shared" ca="1" si="16"/>
        <v>0.91013390390203741</v>
      </c>
      <c r="N100" s="30">
        <f t="shared" ca="1" si="17"/>
        <v>1.6953218243975299</v>
      </c>
      <c r="O100" s="30">
        <f t="shared" ca="1" si="18"/>
        <v>122.87696575903372</v>
      </c>
      <c r="P100" s="30">
        <f t="shared" ca="1" si="19"/>
        <v>112.74968515793758</v>
      </c>
      <c r="Q100" s="30">
        <f t="shared" ca="1" si="20"/>
        <v>10.127280601096146</v>
      </c>
      <c r="R100" s="31">
        <f t="shared" ca="1" si="13"/>
        <v>10.127280601096146</v>
      </c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</row>
    <row r="101" spans="1:49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10">
        <v>98</v>
      </c>
      <c r="K101" s="29">
        <f t="shared" ca="1" si="14"/>
        <v>-1.4666749023173355</v>
      </c>
      <c r="L101" s="30">
        <f t="shared" ca="1" si="15"/>
        <v>-1.3842793485600493</v>
      </c>
      <c r="M101" s="30">
        <f t="shared" ca="1" si="16"/>
        <v>-1.4666749023173355</v>
      </c>
      <c r="N101" s="30">
        <f t="shared" ca="1" si="17"/>
        <v>-2.0152456209072858</v>
      </c>
      <c r="O101" s="30">
        <f t="shared" ca="1" si="18"/>
        <v>96.882867352467755</v>
      </c>
      <c r="P101" s="30">
        <f t="shared" ca="1" si="19"/>
        <v>112.74968515793758</v>
      </c>
      <c r="Q101" s="30">
        <f t="shared" ca="1" si="20"/>
        <v>-15.866817805469822</v>
      </c>
      <c r="R101" s="31">
        <f t="shared" ca="1" si="13"/>
        <v>0</v>
      </c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</row>
    <row r="102" spans="1:49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10">
        <v>99</v>
      </c>
      <c r="K102" s="29">
        <f t="shared" ca="1" si="14"/>
        <v>-0.79989085996825926</v>
      </c>
      <c r="L102" s="30">
        <f t="shared" ca="1" si="15"/>
        <v>0.46420243588838728</v>
      </c>
      <c r="M102" s="30">
        <f t="shared" ca="1" si="16"/>
        <v>-0.79989085996825926</v>
      </c>
      <c r="N102" s="30">
        <f t="shared" ca="1" si="17"/>
        <v>-0.22841675475256462</v>
      </c>
      <c r="O102" s="30">
        <f t="shared" ca="1" si="18"/>
        <v>103.56310116180916</v>
      </c>
      <c r="P102" s="30">
        <f t="shared" ca="1" si="19"/>
        <v>112.74968515793758</v>
      </c>
      <c r="Q102" s="30">
        <f t="shared" ca="1" si="20"/>
        <v>-9.1865839961284195</v>
      </c>
      <c r="R102" s="31">
        <f t="shared" ca="1" si="13"/>
        <v>0</v>
      </c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</row>
    <row r="103" spans="1:49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10">
        <v>100</v>
      </c>
      <c r="K103" s="32">
        <f t="shared" ca="1" si="14"/>
        <v>-1.1876676118638827</v>
      </c>
      <c r="L103" s="33">
        <f t="shared" ca="1" si="15"/>
        <v>-1.0216738453571508</v>
      </c>
      <c r="M103" s="33">
        <f t="shared" ca="1" si="16"/>
        <v>-1.1876676118638827</v>
      </c>
      <c r="N103" s="33">
        <f t="shared" ca="1" si="17"/>
        <v>-1.5609883926979427</v>
      </c>
      <c r="O103" s="33">
        <f t="shared" ca="1" si="18"/>
        <v>99.6240324159469</v>
      </c>
      <c r="P103" s="33">
        <f ca="1">$B$2*EXP(($B$7-$B$4*$B$4/2)*$B$6+$B$4*N103*SQRT($B$6))</f>
        <v>112.74968515793758</v>
      </c>
      <c r="Q103" s="33">
        <f t="shared" ca="1" si="20"/>
        <v>-13.125652741990677</v>
      </c>
      <c r="R103" s="34">
        <f t="shared" ca="1" si="13"/>
        <v>0</v>
      </c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</row>
    <row r="104" spans="1:49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4"/>
      <c r="L104" s="4"/>
      <c r="M104" s="4"/>
      <c r="N104" s="4"/>
      <c r="O104" s="4"/>
      <c r="P104" s="4"/>
      <c r="Q104" s="4"/>
      <c r="R104" s="4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</row>
    <row r="105" spans="1:49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</row>
    <row r="106" spans="1:49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</row>
    <row r="107" spans="1:49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</row>
    <row r="108" spans="1:49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</row>
    <row r="109" spans="1:49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</row>
    <row r="110" spans="1:49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</row>
    <row r="111" spans="1:49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</row>
    <row r="112" spans="1:49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</row>
    <row r="113" spans="1:49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</row>
    <row r="114" spans="1:49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</row>
    <row r="115" spans="1:49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</row>
    <row r="116" spans="1:49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</row>
    <row r="117" spans="1:49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</row>
    <row r="118" spans="1:49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</row>
    <row r="119" spans="1:49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</row>
    <row r="120" spans="1:49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</row>
    <row r="121" spans="1:49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</row>
    <row r="122" spans="1:49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</row>
    <row r="123" spans="1:49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</row>
    <row r="124" spans="1:49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</row>
    <row r="125" spans="1:49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</row>
    <row r="126" spans="1:49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</row>
    <row r="127" spans="1:49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</row>
    <row r="128" spans="1:49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</row>
    <row r="129" spans="1:49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</row>
  </sheetData>
  <mergeCells count="3">
    <mergeCell ref="J2:K2"/>
    <mergeCell ref="A14:B14"/>
    <mergeCell ref="T2:U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5AE96-F90D-4E87-A8BB-17BE4A49A468}">
  <sheetPr codeName="Munka5"/>
  <dimension ref="A1:AT97"/>
  <sheetViews>
    <sheetView workbookViewId="0">
      <selection activeCell="B5" sqref="B5"/>
    </sheetView>
  </sheetViews>
  <sheetFormatPr defaultRowHeight="15" x14ac:dyDescent="0.25"/>
  <cols>
    <col min="1" max="1" width="15.7109375" style="1" bestFit="1" customWidth="1"/>
    <col min="2" max="2" width="9.5703125" style="1" bestFit="1" customWidth="1"/>
    <col min="3" max="3" width="9.140625" style="2"/>
    <col min="4" max="4" width="10" style="2" bestFit="1" customWidth="1"/>
    <col min="5" max="46" width="9.140625" style="2"/>
    <col min="47" max="16384" width="9.140625" style="1"/>
  </cols>
  <sheetData>
    <row r="1" spans="1:2" x14ac:dyDescent="0.25">
      <c r="A1" s="9" t="s">
        <v>7</v>
      </c>
      <c r="B1" s="35">
        <v>100</v>
      </c>
    </row>
    <row r="2" spans="1:2" x14ac:dyDescent="0.25">
      <c r="A2" s="9" t="s">
        <v>8</v>
      </c>
      <c r="B2" s="35">
        <v>100</v>
      </c>
    </row>
    <row r="3" spans="1:2" x14ac:dyDescent="0.25">
      <c r="A3" s="9" t="s">
        <v>0</v>
      </c>
      <c r="B3" s="36">
        <v>0.3</v>
      </c>
    </row>
    <row r="4" spans="1:2" x14ac:dyDescent="0.25">
      <c r="A4" s="9" t="s">
        <v>1</v>
      </c>
      <c r="B4" s="36">
        <v>0.2</v>
      </c>
    </row>
    <row r="5" spans="1:2" x14ac:dyDescent="0.25">
      <c r="A5" s="9" t="s">
        <v>22</v>
      </c>
      <c r="B5" s="37">
        <v>1</v>
      </c>
    </row>
    <row r="6" spans="1:2" x14ac:dyDescent="0.25">
      <c r="A6" s="2"/>
      <c r="B6" s="7"/>
    </row>
    <row r="7" spans="1:2" x14ac:dyDescent="0.25">
      <c r="A7" s="9" t="s">
        <v>11</v>
      </c>
      <c r="B7" s="38" t="s">
        <v>13</v>
      </c>
    </row>
    <row r="8" spans="1:2" x14ac:dyDescent="0.25">
      <c r="A8" s="39">
        <v>-1</v>
      </c>
      <c r="B8" s="40" cm="1">
        <f t="array" ref="B8">margrabe($B$1,$B$2,$B$3,$B$4,A8,$B$5)</f>
        <v>19.741265136584744</v>
      </c>
    </row>
    <row r="9" spans="1:2" x14ac:dyDescent="0.25">
      <c r="A9" s="41">
        <f>A8+5%</f>
        <v>-0.95</v>
      </c>
      <c r="B9" s="42" cm="1">
        <f t="array" ref="B9">margrabe($B$1,$B$2,$B$3,$B$4,A9,$B$5)</f>
        <v>19.507767574541553</v>
      </c>
    </row>
    <row r="10" spans="1:2" x14ac:dyDescent="0.25">
      <c r="A10" s="41">
        <f t="shared" ref="A10:A48" si="0">A9+5%</f>
        <v>-0.89999999999999991</v>
      </c>
      <c r="B10" s="42" cm="1">
        <f t="array" ref="B10">margrabe($B$1,$B$2,$B$3,$B$4,A10,$B$5)</f>
        <v>19.27120369238127</v>
      </c>
    </row>
    <row r="11" spans="1:2" x14ac:dyDescent="0.25">
      <c r="A11" s="41">
        <f t="shared" si="0"/>
        <v>-0.84999999999999987</v>
      </c>
      <c r="B11" s="42" cm="1">
        <f t="array" ref="B11">margrabe($B$1,$B$2,$B$3,$B$4,A11,$B$5)</f>
        <v>19.031458893964093</v>
      </c>
    </row>
    <row r="12" spans="1:2" x14ac:dyDescent="0.25">
      <c r="A12" s="41">
        <f t="shared" si="0"/>
        <v>-0.79999999999999982</v>
      </c>
      <c r="B12" s="42" cm="1">
        <f t="array" ref="B12">margrabe($B$1,$B$2,$B$3,$B$4,A12,$B$5)</f>
        <v>18.788411156266619</v>
      </c>
    </row>
    <row r="13" spans="1:2" x14ac:dyDescent="0.25">
      <c r="A13" s="41">
        <f t="shared" si="0"/>
        <v>-0.74999999999999978</v>
      </c>
      <c r="B13" s="42" cm="1">
        <f t="array" ref="B13">margrabe($B$1,$B$2,$B$3,$B$4,A13,$B$5)</f>
        <v>18.541930335645333</v>
      </c>
    </row>
    <row r="14" spans="1:2" x14ac:dyDescent="0.25">
      <c r="A14" s="41">
        <f t="shared" si="0"/>
        <v>-0.69999999999999973</v>
      </c>
      <c r="B14" s="42" cm="1">
        <f t="array" ref="B14">margrabe($B$1,$B$2,$B$3,$B$4,A14,$B$5)</f>
        <v>18.291877388417618</v>
      </c>
    </row>
    <row r="15" spans="1:2" x14ac:dyDescent="0.25">
      <c r="A15" s="41">
        <f t="shared" si="0"/>
        <v>-0.64999999999999969</v>
      </c>
      <c r="B15" s="42" cm="1">
        <f t="array" ref="B15">margrabe($B$1,$B$2,$B$3,$B$4,A15,$B$5)</f>
        <v>18.038103492455221</v>
      </c>
    </row>
    <row r="16" spans="1:2" x14ac:dyDescent="0.25">
      <c r="A16" s="41">
        <f t="shared" si="0"/>
        <v>-0.59999999999999964</v>
      </c>
      <c r="B16" s="42" cm="1">
        <f t="array" ref="B16">margrabe($B$1,$B$2,$B$3,$B$4,A16,$B$5)</f>
        <v>17.780449053970642</v>
      </c>
    </row>
    <row r="17" spans="1:2" x14ac:dyDescent="0.25">
      <c r="A17" s="41">
        <f t="shared" si="0"/>
        <v>-0.5499999999999996</v>
      </c>
      <c r="B17" s="42" cm="1">
        <f t="array" ref="B17">margrabe($B$1,$B$2,$B$3,$B$4,A17,$B$5)</f>
        <v>17.518742580599415</v>
      </c>
    </row>
    <row r="18" spans="1:2" x14ac:dyDescent="0.25">
      <c r="A18" s="41">
        <f t="shared" si="0"/>
        <v>-0.49999999999999961</v>
      </c>
      <c r="B18" s="42" cm="1">
        <f t="array" ref="B18">margrabe($B$1,$B$2,$B$3,$B$4,A18,$B$5)</f>
        <v>17.252799398089564</v>
      </c>
    </row>
    <row r="19" spans="1:2" x14ac:dyDescent="0.25">
      <c r="A19" s="41">
        <f t="shared" si="0"/>
        <v>-0.44999999999999962</v>
      </c>
      <c r="B19" s="42" cm="1">
        <f t="array" ref="B19">margrabe($B$1,$B$2,$B$3,$B$4,A19,$B$5)</f>
        <v>16.982420183214586</v>
      </c>
    </row>
    <row r="20" spans="1:2" x14ac:dyDescent="0.25">
      <c r="A20" s="41">
        <f t="shared" si="0"/>
        <v>-0.39999999999999963</v>
      </c>
      <c r="B20" s="42" cm="1">
        <f t="array" ref="B20">margrabe($B$1,$B$2,$B$3,$B$4,A20,$B$5)</f>
        <v>16.707389279669798</v>
      </c>
    </row>
    <row r="21" spans="1:2" x14ac:dyDescent="0.25">
      <c r="A21" s="41">
        <f t="shared" si="0"/>
        <v>-0.34999999999999964</v>
      </c>
      <c r="B21" s="42" cm="1">
        <f t="array" ref="B21">margrabe($B$1,$B$2,$B$3,$B$4,A21,$B$5)</f>
        <v>16.427472756364018</v>
      </c>
    </row>
    <row r="22" spans="1:2" x14ac:dyDescent="0.25">
      <c r="A22" s="41">
        <f t="shared" si="0"/>
        <v>-0.29999999999999966</v>
      </c>
      <c r="B22" s="42" cm="1">
        <f t="array" ref="B22">margrabe($B$1,$B$2,$B$3,$B$4,A22,$B$5)</f>
        <v>16.142416158227178</v>
      </c>
    </row>
    <row r="23" spans="1:2" x14ac:dyDescent="0.25">
      <c r="A23" s="41">
        <f t="shared" si="0"/>
        <v>-0.24999999999999967</v>
      </c>
      <c r="B23" s="42" cm="1">
        <f t="array" ref="B23">margrabe($B$1,$B$2,$B$3,$B$4,A23,$B$5)</f>
        <v>15.851941887820608</v>
      </c>
    </row>
    <row r="24" spans="1:2" x14ac:dyDescent="0.25">
      <c r="A24" s="41">
        <f t="shared" si="0"/>
        <v>-0.19999999999999968</v>
      </c>
      <c r="B24" s="42" cm="1">
        <f t="array" ref="B24">margrabe($B$1,$B$2,$B$3,$B$4,A24,$B$5)</f>
        <v>15.555746140838131</v>
      </c>
    </row>
    <row r="25" spans="1:2" x14ac:dyDescent="0.25">
      <c r="A25" s="41">
        <f t="shared" si="0"/>
        <v>-0.14999999999999969</v>
      </c>
      <c r="B25" s="42" cm="1">
        <f t="array" ref="B25">margrabe($B$1,$B$2,$B$3,$B$4,A25,$B$5)</f>
        <v>15.253495298898898</v>
      </c>
    </row>
    <row r="26" spans="1:2" x14ac:dyDescent="0.25">
      <c r="A26" s="41">
        <f t="shared" si="0"/>
        <v>-9.9999999999999686E-2</v>
      </c>
      <c r="B26" s="42" cm="1">
        <f t="array" ref="B26">margrabe($B$1,$B$2,$B$3,$B$4,A26,$B$5)</f>
        <v>14.944821657288713</v>
      </c>
    </row>
    <row r="27" spans="1:2" x14ac:dyDescent="0.25">
      <c r="A27" s="41">
        <f t="shared" si="0"/>
        <v>-4.9999999999999684E-2</v>
      </c>
      <c r="B27" s="42" cm="1">
        <f t="array" ref="B27">margrabe($B$1,$B$2,$B$3,$B$4,A27,$B$5)</f>
        <v>14.629318331306408</v>
      </c>
    </row>
    <row r="28" spans="1:2" x14ac:dyDescent="0.25">
      <c r="A28" s="41">
        <f t="shared" si="0"/>
        <v>3.1918911957973251E-16</v>
      </c>
      <c r="B28" s="42" cm="1">
        <f t="array" ref="B28">margrabe($B$1,$B$2,$B$3,$B$4,A28,$B$5)</f>
        <v>14.306533139477423</v>
      </c>
    </row>
    <row r="29" spans="1:2" x14ac:dyDescent="0.25">
      <c r="A29" s="41">
        <f t="shared" si="0"/>
        <v>5.0000000000000322E-2</v>
      </c>
      <c r="B29" s="42" cm="1">
        <f t="array" ref="B29">margrabe($B$1,$B$2,$B$3,$B$4,A29,$B$5)</f>
        <v>13.975961200577387</v>
      </c>
    </row>
    <row r="30" spans="1:2" x14ac:dyDescent="0.25">
      <c r="A30" s="41">
        <f t="shared" si="0"/>
        <v>0.10000000000000032</v>
      </c>
      <c r="B30" s="42" cm="1">
        <f t="array" ref="B30">margrabe($B$1,$B$2,$B$3,$B$4,A30,$B$5)</f>
        <v>13.63703589751934</v>
      </c>
    </row>
    <row r="31" spans="1:2" x14ac:dyDescent="0.25">
      <c r="A31" s="41">
        <f t="shared" si="0"/>
        <v>0.15000000000000033</v>
      </c>
      <c r="B31" s="42" cm="1">
        <f t="array" ref="B31">margrabe($B$1,$B$2,$B$3,$B$4,A31,$B$5)</f>
        <v>13.289117744795263</v>
      </c>
    </row>
    <row r="32" spans="1:2" x14ac:dyDescent="0.25">
      <c r="A32" s="41">
        <f t="shared" si="0"/>
        <v>0.20000000000000034</v>
      </c>
      <c r="B32" s="42" cm="1">
        <f t="array" ref="B32">margrabe($B$1,$B$2,$B$3,$B$4,A32,$B$5)</f>
        <v>12.931480532296135</v>
      </c>
    </row>
    <row r="33" spans="1:5" x14ac:dyDescent="0.25">
      <c r="A33" s="41">
        <f t="shared" si="0"/>
        <v>0.25000000000000033</v>
      </c>
      <c r="B33" s="42" cm="1">
        <f t="array" ref="B33">margrabe($B$1,$B$2,$B$3,$B$4,A33,$B$5)</f>
        <v>12.563293883710806</v>
      </c>
    </row>
    <row r="34" spans="1:5" x14ac:dyDescent="0.25">
      <c r="A34" s="41">
        <f t="shared" si="0"/>
        <v>0.30000000000000032</v>
      </c>
      <c r="B34" s="42" cm="1">
        <f t="array" ref="B34">margrabe($B$1,$B$2,$B$3,$B$4,A34,$B$5)</f>
        <v>12.183601025562616</v>
      </c>
    </row>
    <row r="35" spans="1:5" x14ac:dyDescent="0.25">
      <c r="A35" s="41">
        <f t="shared" si="0"/>
        <v>0.35000000000000031</v>
      </c>
      <c r="B35" s="42" cm="1">
        <f t="array" ref="B35">margrabe($B$1,$B$2,$B$3,$B$4,A35,$B$5)</f>
        <v>11.791290053772357</v>
      </c>
    </row>
    <row r="36" spans="1:5" x14ac:dyDescent="0.25">
      <c r="A36" s="41">
        <f t="shared" si="0"/>
        <v>0.4000000000000003</v>
      </c>
      <c r="B36" s="42" cm="1">
        <f t="array" ref="B36">margrabe($B$1,$B$2,$B$3,$B$4,A36,$B$5)</f>
        <v>11.385056209530028</v>
      </c>
    </row>
    <row r="37" spans="1:5" x14ac:dyDescent="0.25">
      <c r="A37" s="41">
        <f t="shared" si="0"/>
        <v>0.45000000000000029</v>
      </c>
      <c r="B37" s="42" cm="1">
        <f t="array" ref="B37">margrabe($B$1,$B$2,$B$3,$B$4,A37,$B$5)</f>
        <v>10.963351465883918</v>
      </c>
    </row>
    <row r="38" spans="1:5" x14ac:dyDescent="0.25">
      <c r="A38" s="41">
        <f t="shared" si="0"/>
        <v>0.50000000000000033</v>
      </c>
      <c r="B38" s="42" cm="1">
        <f t="array" ref="B38">margrabe($B$1,$B$2,$B$3,$B$4,A38,$B$5)</f>
        <v>10.524315781125253</v>
      </c>
    </row>
    <row r="39" spans="1:5" x14ac:dyDescent="0.25">
      <c r="A39" s="41">
        <f t="shared" si="0"/>
        <v>0.55000000000000038</v>
      </c>
      <c r="B39" s="42" cm="1">
        <f t="array" ref="B39">margrabe($B$1,$B$2,$B$3,$B$4,A39,$B$5)</f>
        <v>10.065681143863372</v>
      </c>
    </row>
    <row r="40" spans="1:5" x14ac:dyDescent="0.25">
      <c r="A40" s="41">
        <f t="shared" si="0"/>
        <v>0.60000000000000042</v>
      </c>
      <c r="B40" s="42" cm="1">
        <f t="array" ref="B40">margrabe($B$1,$B$2,$B$3,$B$4,A40,$B$5)</f>
        <v>9.5846339600210939</v>
      </c>
    </row>
    <row r="41" spans="1:5" x14ac:dyDescent="0.25">
      <c r="A41" s="41">
        <f t="shared" si="0"/>
        <v>0.65000000000000047</v>
      </c>
      <c r="B41" s="42" cm="1">
        <f t="array" ref="B41">margrabe($B$1,$B$2,$B$3,$B$4,A41,$B$5)</f>
        <v>9.0776112782357714</v>
      </c>
    </row>
    <row r="42" spans="1:5" x14ac:dyDescent="0.25">
      <c r="A42" s="41">
        <f t="shared" si="0"/>
        <v>0.70000000000000051</v>
      </c>
      <c r="B42" s="42" cm="1">
        <f t="array" ref="B42">margrabe($B$1,$B$2,$B$3,$B$4,A42,$B$5)</f>
        <v>8.5399872410567355</v>
      </c>
    </row>
    <row r="43" spans="1:5" x14ac:dyDescent="0.25">
      <c r="A43" s="41">
        <f t="shared" si="0"/>
        <v>0.75000000000000056</v>
      </c>
      <c r="B43" s="42" cm="1">
        <f t="array" ref="B43">margrabe($B$1,$B$2,$B$3,$B$4,A43,$B$5)</f>
        <v>7.9655674554058038</v>
      </c>
      <c r="D43" s="45"/>
      <c r="E43" s="46"/>
    </row>
    <row r="44" spans="1:5" x14ac:dyDescent="0.25">
      <c r="A44" s="41">
        <f t="shared" si="0"/>
        <v>0.8000000000000006</v>
      </c>
      <c r="B44" s="42" cm="1">
        <f t="array" ref="B44">margrabe($B$1,$B$2,$B$3,$B$4,A44,$B$5)</f>
        <v>7.3457242664341322</v>
      </c>
      <c r="D44" s="8"/>
    </row>
    <row r="45" spans="1:5" x14ac:dyDescent="0.25">
      <c r="A45" s="41">
        <f t="shared" si="0"/>
        <v>0.85000000000000064</v>
      </c>
      <c r="B45" s="42" cm="1">
        <f t="array" ref="B45">margrabe($B$1,$B$2,$B$3,$B$4,A45,$B$5)</f>
        <v>6.667801170860308</v>
      </c>
      <c r="D45" s="8"/>
    </row>
    <row r="46" spans="1:5" x14ac:dyDescent="0.25">
      <c r="A46" s="41">
        <f t="shared" si="0"/>
        <v>0.90000000000000069</v>
      </c>
      <c r="B46" s="42" cm="1">
        <f t="array" ref="B46">margrabe($B$1,$B$2,$B$3,$B$4,A46,$B$5)</f>
        <v>5.9118505802937307</v>
      </c>
      <c r="D46" s="8"/>
    </row>
    <row r="47" spans="1:5" x14ac:dyDescent="0.25">
      <c r="A47" s="41">
        <f t="shared" si="0"/>
        <v>0.95000000000000073</v>
      </c>
      <c r="B47" s="42" cm="1">
        <f t="array" ref="B47">margrabe($B$1,$B$2,$B$3,$B$4,A47,$B$5)</f>
        <v>5.0429028848894717</v>
      </c>
      <c r="D47" s="8"/>
    </row>
    <row r="48" spans="1:5" x14ac:dyDescent="0.25">
      <c r="A48" s="43">
        <f t="shared" si="0"/>
        <v>1.0000000000000007</v>
      </c>
      <c r="B48" s="44" cm="1">
        <f t="array" ref="B48">margrabe($B$1,$B$2,$B$3,$B$4,A48,$B$5)</f>
        <v>3.9877611676744777</v>
      </c>
      <c r="D48" s="8"/>
    </row>
    <row r="49" spans="1:4" x14ac:dyDescent="0.25">
      <c r="A49" s="2"/>
      <c r="B49" s="2"/>
      <c r="D49" s="8"/>
    </row>
    <row r="50" spans="1:4" x14ac:dyDescent="0.25">
      <c r="A50" s="2"/>
      <c r="B50" s="2"/>
      <c r="D50" s="8"/>
    </row>
    <row r="51" spans="1:4" x14ac:dyDescent="0.25">
      <c r="A51" s="2"/>
      <c r="B51" s="2"/>
      <c r="D51" s="8"/>
    </row>
    <row r="52" spans="1:4" x14ac:dyDescent="0.25">
      <c r="A52" s="2"/>
      <c r="B52" s="2"/>
      <c r="D52" s="8"/>
    </row>
    <row r="53" spans="1:4" x14ac:dyDescent="0.25">
      <c r="A53" s="2"/>
      <c r="B53" s="2"/>
      <c r="D53" s="8"/>
    </row>
    <row r="54" spans="1:4" x14ac:dyDescent="0.25">
      <c r="A54" s="2"/>
      <c r="B54" s="2"/>
      <c r="D54" s="8"/>
    </row>
    <row r="55" spans="1:4" x14ac:dyDescent="0.25">
      <c r="A55" s="2"/>
      <c r="B55" s="2"/>
      <c r="D55" s="8"/>
    </row>
    <row r="56" spans="1:4" x14ac:dyDescent="0.25">
      <c r="A56" s="2"/>
      <c r="B56" s="2"/>
      <c r="D56" s="8"/>
    </row>
    <row r="57" spans="1:4" x14ac:dyDescent="0.25">
      <c r="A57" s="2"/>
      <c r="B57" s="2"/>
      <c r="D57" s="8"/>
    </row>
    <row r="58" spans="1:4" x14ac:dyDescent="0.25">
      <c r="A58" s="2"/>
      <c r="B58" s="2"/>
      <c r="D58" s="8"/>
    </row>
    <row r="59" spans="1:4" x14ac:dyDescent="0.25">
      <c r="A59" s="2"/>
      <c r="B59" s="2"/>
      <c r="D59" s="8"/>
    </row>
    <row r="60" spans="1:4" x14ac:dyDescent="0.25">
      <c r="A60" s="2"/>
      <c r="B60" s="2"/>
      <c r="D60" s="8"/>
    </row>
    <row r="61" spans="1:4" x14ac:dyDescent="0.25">
      <c r="A61" s="2"/>
      <c r="B61" s="2"/>
      <c r="D61" s="8"/>
    </row>
    <row r="62" spans="1:4" x14ac:dyDescent="0.25">
      <c r="A62" s="2"/>
      <c r="B62" s="2"/>
      <c r="D62" s="8"/>
    </row>
    <row r="63" spans="1:4" x14ac:dyDescent="0.25">
      <c r="A63" s="2"/>
      <c r="B63" s="2"/>
      <c r="D63" s="8"/>
    </row>
    <row r="64" spans="1:4" x14ac:dyDescent="0.25">
      <c r="A64" s="2"/>
      <c r="B64" s="2"/>
      <c r="D64" s="8"/>
    </row>
    <row r="65" spans="1:4" x14ac:dyDescent="0.25">
      <c r="A65" s="2"/>
      <c r="B65" s="2"/>
      <c r="D65" s="8"/>
    </row>
    <row r="66" spans="1:4" x14ac:dyDescent="0.25">
      <c r="A66" s="2"/>
      <c r="B66" s="2"/>
      <c r="D66" s="8"/>
    </row>
    <row r="67" spans="1:4" x14ac:dyDescent="0.25">
      <c r="A67" s="2"/>
      <c r="B67" s="2"/>
      <c r="D67" s="8"/>
    </row>
    <row r="68" spans="1:4" x14ac:dyDescent="0.25">
      <c r="A68" s="2"/>
      <c r="B68" s="2"/>
      <c r="D68" s="8"/>
    </row>
    <row r="69" spans="1:4" x14ac:dyDescent="0.25">
      <c r="A69" s="2"/>
      <c r="B69" s="2"/>
      <c r="D69" s="8"/>
    </row>
    <row r="70" spans="1:4" x14ac:dyDescent="0.25">
      <c r="A70" s="2"/>
      <c r="B70" s="2"/>
      <c r="D70" s="8"/>
    </row>
    <row r="71" spans="1:4" x14ac:dyDescent="0.25">
      <c r="A71" s="2"/>
      <c r="B71" s="2"/>
      <c r="D71" s="8"/>
    </row>
    <row r="72" spans="1:4" x14ac:dyDescent="0.25">
      <c r="A72" s="2"/>
      <c r="B72" s="2"/>
      <c r="D72" s="8"/>
    </row>
    <row r="73" spans="1:4" x14ac:dyDescent="0.25">
      <c r="A73" s="2"/>
      <c r="B73" s="2"/>
      <c r="D73" s="8"/>
    </row>
    <row r="74" spans="1:4" x14ac:dyDescent="0.25">
      <c r="A74" s="2"/>
      <c r="B74" s="2"/>
      <c r="D74" s="8"/>
    </row>
    <row r="75" spans="1:4" x14ac:dyDescent="0.25">
      <c r="A75" s="2"/>
      <c r="B75" s="2"/>
      <c r="D75" s="8"/>
    </row>
    <row r="76" spans="1:4" x14ac:dyDescent="0.25">
      <c r="A76" s="2"/>
      <c r="B76" s="2"/>
      <c r="D76" s="8"/>
    </row>
    <row r="77" spans="1:4" x14ac:dyDescent="0.25">
      <c r="A77" s="2"/>
      <c r="B77" s="2"/>
      <c r="D77" s="8"/>
    </row>
    <row r="78" spans="1:4" x14ac:dyDescent="0.25">
      <c r="A78" s="2"/>
      <c r="B78" s="2"/>
      <c r="D78" s="8"/>
    </row>
    <row r="79" spans="1:4" x14ac:dyDescent="0.25">
      <c r="A79" s="2"/>
      <c r="B79" s="2"/>
      <c r="D79" s="8"/>
    </row>
    <row r="80" spans="1:4" x14ac:dyDescent="0.25">
      <c r="A80" s="2"/>
      <c r="B80" s="2"/>
      <c r="D80" s="8"/>
    </row>
    <row r="81" spans="1:4" x14ac:dyDescent="0.25">
      <c r="A81" s="2"/>
      <c r="B81" s="2"/>
      <c r="D81" s="8"/>
    </row>
    <row r="82" spans="1:4" x14ac:dyDescent="0.25">
      <c r="A82" s="2"/>
      <c r="B82" s="2"/>
      <c r="D82" s="8"/>
    </row>
    <row r="83" spans="1:4" x14ac:dyDescent="0.25">
      <c r="A83" s="2"/>
      <c r="B83" s="2"/>
      <c r="D83" s="8"/>
    </row>
    <row r="84" spans="1:4" x14ac:dyDescent="0.25">
      <c r="A84" s="2"/>
      <c r="B84" s="2"/>
      <c r="D84" s="8"/>
    </row>
    <row r="85" spans="1:4" x14ac:dyDescent="0.25">
      <c r="A85" s="2"/>
      <c r="B85" s="2"/>
      <c r="D85" s="8"/>
    </row>
    <row r="86" spans="1:4" x14ac:dyDescent="0.25">
      <c r="A86" s="2"/>
      <c r="B86" s="2"/>
      <c r="D86" s="8"/>
    </row>
    <row r="87" spans="1:4" x14ac:dyDescent="0.25">
      <c r="A87" s="2"/>
      <c r="B87" s="2"/>
      <c r="D87" s="8"/>
    </row>
    <row r="88" spans="1:4" x14ac:dyDescent="0.25">
      <c r="D88" s="8"/>
    </row>
    <row r="89" spans="1:4" x14ac:dyDescent="0.25">
      <c r="D89" s="8"/>
    </row>
    <row r="90" spans="1:4" x14ac:dyDescent="0.25">
      <c r="D90" s="8"/>
    </row>
    <row r="91" spans="1:4" x14ac:dyDescent="0.25">
      <c r="D91" s="8"/>
    </row>
    <row r="92" spans="1:4" x14ac:dyDescent="0.25">
      <c r="D92" s="8"/>
    </row>
    <row r="93" spans="1:4" x14ac:dyDescent="0.25">
      <c r="D93" s="8"/>
    </row>
    <row r="94" spans="1:4" x14ac:dyDescent="0.25">
      <c r="D94" s="8"/>
    </row>
    <row r="95" spans="1:4" x14ac:dyDescent="0.25">
      <c r="D95" s="8"/>
    </row>
    <row r="96" spans="1:4" x14ac:dyDescent="0.25">
      <c r="D96" s="8"/>
    </row>
    <row r="97" spans="4:4" x14ac:dyDescent="0.25">
      <c r="D97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Margrabe</vt:lpstr>
      <vt:lpstr>Korreláció hatása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Porupsánszki István</cp:lastModifiedBy>
  <dcterms:created xsi:type="dcterms:W3CDTF">2022-11-03T09:04:04Z</dcterms:created>
  <dcterms:modified xsi:type="dcterms:W3CDTF">2024-02-08T11:08:51Z</dcterms:modified>
</cp:coreProperties>
</file>